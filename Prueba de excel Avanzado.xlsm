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to\Downloads\"/>
    </mc:Choice>
  </mc:AlternateContent>
  <xr:revisionPtr revIDLastSave="0" documentId="13_ncr:1_{12245E2E-C484-49D3-9D65-9B3B4579FB6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LANILLA" sheetId="1" r:id="rId1"/>
    <sheet name="BOLETA" sheetId="2" r:id="rId2"/>
    <sheet name="RESUMEN" sheetId="3" r:id="rId3"/>
    <sheet name="BÚSQUEDAS" sheetId="4" state="hidden" r:id="rId4"/>
  </sheets>
  <definedNames>
    <definedName name="_xlnm._FilterDatabase" localSheetId="0" hidden="1">PLANILLA!$B$5:$Z$16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" i="1" l="1"/>
  <c r="Z9" i="1"/>
  <c r="Z10" i="1"/>
  <c r="Z11" i="1"/>
  <c r="Z12" i="1"/>
  <c r="Z13" i="1"/>
  <c r="Z14" i="1"/>
  <c r="Z15" i="1"/>
  <c r="Z7" i="1"/>
  <c r="Z6" i="1"/>
  <c r="E19" i="3"/>
  <c r="H35" i="3"/>
  <c r="H34" i="3"/>
  <c r="G33" i="3"/>
  <c r="E32" i="3"/>
  <c r="E31" i="3"/>
  <c r="E29" i="3"/>
  <c r="E30" i="3"/>
  <c r="G25" i="3"/>
  <c r="F24" i="3"/>
  <c r="F23" i="3"/>
  <c r="F22" i="3"/>
  <c r="D15" i="3"/>
  <c r="D14" i="3"/>
  <c r="D13" i="3"/>
  <c r="T8" i="1"/>
  <c r="T7" i="1"/>
  <c r="T9" i="1"/>
  <c r="T10" i="1"/>
  <c r="T11" i="1"/>
  <c r="T12" i="1"/>
  <c r="T13" i="1"/>
  <c r="T14" i="1"/>
  <c r="T15" i="1"/>
  <c r="T6" i="1"/>
  <c r="S6" i="1"/>
  <c r="S7" i="1"/>
  <c r="S8" i="1"/>
  <c r="S9" i="1"/>
  <c r="S10" i="1"/>
  <c r="S11" i="1"/>
  <c r="S12" i="1"/>
  <c r="S13" i="1"/>
  <c r="S14" i="1"/>
  <c r="S15" i="1"/>
  <c r="Q6" i="1"/>
  <c r="Q7" i="1"/>
  <c r="Q8" i="1"/>
  <c r="Q9" i="1"/>
  <c r="Q10" i="1"/>
  <c r="Q11" i="1"/>
  <c r="Q12" i="1"/>
  <c r="Q13" i="1"/>
  <c r="Q14" i="1"/>
  <c r="Q15" i="1"/>
  <c r="O7" i="1"/>
  <c r="O8" i="1"/>
  <c r="O9" i="1"/>
  <c r="O10" i="1"/>
  <c r="O11" i="1"/>
  <c r="O12" i="1"/>
  <c r="O13" i="1"/>
  <c r="O14" i="1"/>
  <c r="O15" i="1"/>
  <c r="O6" i="1"/>
  <c r="M7" i="1"/>
  <c r="W7" i="1" s="1"/>
  <c r="M8" i="1"/>
  <c r="W8" i="1" s="1"/>
  <c r="M9" i="1"/>
  <c r="V9" i="1" s="1"/>
  <c r="M10" i="1"/>
  <c r="V10" i="1" s="1"/>
  <c r="M11" i="1"/>
  <c r="V11" i="1" s="1"/>
  <c r="M12" i="1"/>
  <c r="V12" i="1" s="1"/>
  <c r="M13" i="1"/>
  <c r="P13" i="1" s="1"/>
  <c r="M14" i="1"/>
  <c r="P14" i="1" s="1"/>
  <c r="M15" i="1"/>
  <c r="P15" i="1" s="1"/>
  <c r="M6" i="1"/>
  <c r="P6" i="1" s="1"/>
  <c r="L7" i="1"/>
  <c r="B7" i="1" s="1"/>
  <c r="L8" i="1"/>
  <c r="B8" i="1" s="1"/>
  <c r="L9" i="1"/>
  <c r="B9" i="1" s="1"/>
  <c r="L10" i="1"/>
  <c r="B10" i="1" s="1"/>
  <c r="L11" i="1"/>
  <c r="B11" i="1" s="1"/>
  <c r="L12" i="1"/>
  <c r="B12" i="1" s="1"/>
  <c r="L13" i="1"/>
  <c r="B13" i="1" s="1"/>
  <c r="L14" i="1"/>
  <c r="B14" i="1" s="1"/>
  <c r="L15" i="1"/>
  <c r="B15" i="1" s="1"/>
  <c r="L6" i="1"/>
  <c r="B6" i="1" s="1"/>
  <c r="E11" i="2" s="1"/>
  <c r="D14" i="2" s="1"/>
  <c r="H23" i="2" l="1"/>
  <c r="H22" i="2"/>
  <c r="D31" i="2"/>
  <c r="D26" i="2"/>
  <c r="D25" i="2"/>
  <c r="D24" i="2"/>
  <c r="D23" i="2"/>
  <c r="D22" i="2"/>
  <c r="D21" i="2"/>
  <c r="D20" i="2"/>
  <c r="H17" i="2"/>
  <c r="H16" i="2"/>
  <c r="H15" i="2"/>
  <c r="D17" i="2"/>
  <c r="D16" i="2"/>
  <c r="D15" i="2"/>
  <c r="S16" i="1"/>
  <c r="D18" i="3"/>
  <c r="D17" i="3"/>
  <c r="D16" i="3"/>
  <c r="T16" i="1"/>
  <c r="N14" i="1"/>
  <c r="R14" i="1" s="1"/>
  <c r="U14" i="1" s="1"/>
  <c r="O16" i="1"/>
  <c r="N9" i="1"/>
  <c r="R9" i="1" s="1"/>
  <c r="N6" i="1"/>
  <c r="N13" i="1"/>
  <c r="R13" i="1" s="1"/>
  <c r="U13" i="1" s="1"/>
  <c r="P12" i="1"/>
  <c r="P10" i="1"/>
  <c r="P9" i="1"/>
  <c r="U9" i="1" s="1"/>
  <c r="P8" i="1"/>
  <c r="V8" i="1"/>
  <c r="X8" i="1" s="1"/>
  <c r="W15" i="1"/>
  <c r="W14" i="1"/>
  <c r="W13" i="1"/>
  <c r="N15" i="1"/>
  <c r="R15" i="1" s="1"/>
  <c r="U15" i="1" s="1"/>
  <c r="W9" i="1"/>
  <c r="X9" i="1" s="1"/>
  <c r="M16" i="1"/>
  <c r="P11" i="1"/>
  <c r="V7" i="1"/>
  <c r="X7" i="1" s="1"/>
  <c r="N12" i="1"/>
  <c r="R12" i="1" s="1"/>
  <c r="V14" i="1"/>
  <c r="W12" i="1"/>
  <c r="X12" i="1" s="1"/>
  <c r="W6" i="1"/>
  <c r="V6" i="1"/>
  <c r="P7" i="1"/>
  <c r="V15" i="1"/>
  <c r="N11" i="1"/>
  <c r="R11" i="1" s="1"/>
  <c r="V13" i="1"/>
  <c r="W11" i="1"/>
  <c r="X11" i="1" s="1"/>
  <c r="N10" i="1"/>
  <c r="R10" i="1" s="1"/>
  <c r="W10" i="1"/>
  <c r="X10" i="1" s="1"/>
  <c r="Q16" i="1"/>
  <c r="N8" i="1"/>
  <c r="R8" i="1" s="1"/>
  <c r="N7" i="1"/>
  <c r="R7" i="1" s="1"/>
  <c r="H27" i="2" l="1"/>
  <c r="D27" i="2"/>
  <c r="D30" i="2" s="1"/>
  <c r="U7" i="1"/>
  <c r="V16" i="1"/>
  <c r="U10" i="1"/>
  <c r="U12" i="1"/>
  <c r="Y12" i="1" s="1"/>
  <c r="W16" i="1"/>
  <c r="U8" i="1"/>
  <c r="Y8" i="1" s="1"/>
  <c r="U11" i="1"/>
  <c r="R6" i="1"/>
  <c r="X14" i="1"/>
  <c r="Y9" i="1"/>
  <c r="X13" i="1"/>
  <c r="Y13" i="1" s="1"/>
  <c r="X15" i="1"/>
  <c r="Y15" i="1" s="1"/>
  <c r="Y10" i="1"/>
  <c r="Y14" i="1"/>
  <c r="X6" i="1"/>
  <c r="Y7" i="1"/>
  <c r="N16" i="1"/>
  <c r="Y11" i="1"/>
  <c r="P16" i="1"/>
  <c r="U6" i="1" l="1"/>
  <c r="R16" i="1"/>
  <c r="X16" i="1"/>
  <c r="Y6" i="1"/>
  <c r="U16" i="1" l="1"/>
  <c r="Y16" i="1"/>
  <c r="E28" i="3" s="1"/>
  <c r="Z16" i="1" l="1"/>
</calcChain>
</file>

<file path=xl/sharedStrings.xml><?xml version="1.0" encoding="utf-8"?>
<sst xmlns="http://schemas.openxmlformats.org/spreadsheetml/2006/main" count="223" uniqueCount="161">
  <si>
    <t>Permanente</t>
  </si>
  <si>
    <t>C</t>
  </si>
  <si>
    <t>A</t>
  </si>
  <si>
    <t>M</t>
  </si>
  <si>
    <t>Contratado</t>
  </si>
  <si>
    <t>V</t>
  </si>
  <si>
    <t>B</t>
  </si>
  <si>
    <t>F</t>
  </si>
  <si>
    <t>Eventual</t>
  </si>
  <si>
    <t>D</t>
  </si>
  <si>
    <t>S</t>
  </si>
  <si>
    <t>EMPLEADOS</t>
  </si>
  <si>
    <t>EDAD</t>
  </si>
  <si>
    <t>TIPO</t>
  </si>
  <si>
    <t>CIVIL</t>
  </si>
  <si>
    <t>CATEGORÍA</t>
  </si>
  <si>
    <t>SEXO</t>
  </si>
  <si>
    <t>TOTAL</t>
  </si>
  <si>
    <t>BÁSICO</t>
  </si>
  <si>
    <t>B. CIVIL</t>
  </si>
  <si>
    <t>B. TOTAL</t>
  </si>
  <si>
    <t>D. TOTAL</t>
  </si>
  <si>
    <t>PLANILLA DE SUELDOS</t>
  </si>
  <si>
    <t>&gt;=11</t>
  </si>
  <si>
    <t>&lt;=10</t>
  </si>
  <si>
    <t>F. NAC</t>
  </si>
  <si>
    <t>CATEG</t>
  </si>
  <si>
    <t>T. SERV</t>
  </si>
  <si>
    <t>BON. 1</t>
  </si>
  <si>
    <t>B. CAT</t>
  </si>
  <si>
    <t>BON. 2</t>
  </si>
  <si>
    <t>BON. 3</t>
  </si>
  <si>
    <t>BON. 4</t>
  </si>
  <si>
    <t>TABLA1</t>
  </si>
  <si>
    <t>BONIFICACIÓN 3</t>
  </si>
  <si>
    <t>TABLA2</t>
  </si>
  <si>
    <t>BONIFICACIÓN 4</t>
  </si>
  <si>
    <t>TABLA3</t>
  </si>
  <si>
    <t>CÓDIGO</t>
  </si>
  <si>
    <t>INSTRUCCIONES</t>
  </si>
  <si>
    <t>ONP</t>
  </si>
  <si>
    <t xml:space="preserve"> 6.-  BON.1 =  15% del basico para los casados, 12% del basico para los Viudos y 8% del basico para solteros</t>
  </si>
  <si>
    <t xml:space="preserve"> 9.-  B. TOTAL = Suma de Bonificaciones</t>
  </si>
  <si>
    <t>13.- NETO = (BÁSICO + B. TOTAL) - D. TOTAL</t>
  </si>
  <si>
    <t>E. CIVIL</t>
  </si>
  <si>
    <t>% BON. 1</t>
  </si>
  <si>
    <t xml:space="preserve">NETO </t>
  </si>
  <si>
    <t>DOLARES ($)</t>
  </si>
  <si>
    <t>13.- DOLARES = NETO en dólares</t>
  </si>
  <si>
    <t>TIPO DE CAMBIO</t>
  </si>
  <si>
    <t>SUELDO BÁSICO:</t>
  </si>
  <si>
    <t>BOLETA DE PAGO</t>
  </si>
  <si>
    <t>EMPLEADO:</t>
  </si>
  <si>
    <t>DATOS</t>
  </si>
  <si>
    <t>EDAD:</t>
  </si>
  <si>
    <t>ESTADO CIVIL:</t>
  </si>
  <si>
    <t>TIPO DE CONTRATO:</t>
  </si>
  <si>
    <t>CATEGORÍA:</t>
  </si>
  <si>
    <t>BONIFICACIONES</t>
  </si>
  <si>
    <t>DESCUENTOS</t>
  </si>
  <si>
    <t>TIEMPO DE SERVICIO:</t>
  </si>
  <si>
    <t>B. EMP</t>
  </si>
  <si>
    <t xml:space="preserve"> 4.-  B.EMP = 10% del basico para permanente, 8% del basico para contratado y 5% del basico para Eventual</t>
  </si>
  <si>
    <t>% B. EMP</t>
  </si>
  <si>
    <t>B. EMPLEADO:</t>
  </si>
  <si>
    <t>B. CIVIL:</t>
  </si>
  <si>
    <t>B. CATEGORÍA:</t>
  </si>
  <si>
    <t>BONIFICACIÓN 1:</t>
  </si>
  <si>
    <t>BONIFICACIÓN 2:</t>
  </si>
  <si>
    <t>BONIFICACIÓN 3:</t>
  </si>
  <si>
    <t>BONIFICACIÓN 4:</t>
  </si>
  <si>
    <t>TOTAL:</t>
  </si>
  <si>
    <t>ONP:</t>
  </si>
  <si>
    <t>TOTAL A PAGAR:</t>
  </si>
  <si>
    <t>EN DÓLARES:</t>
  </si>
  <si>
    <t xml:space="preserve">       INGRESE EL CÓDIGO: </t>
  </si>
  <si>
    <t xml:space="preserve"> 1.-  EDAD = A partir de la fecha de Nacimiento</t>
  </si>
  <si>
    <t>REPORTE DEL AREA DE RRHH</t>
  </si>
  <si>
    <t>N° DE EMPLEADOS:</t>
  </si>
  <si>
    <t>EMPLEADO DE MAYOR EDAD:</t>
  </si>
  <si>
    <t>EMPLEADO DE MENOR EDAD:</t>
  </si>
  <si>
    <t>EMPLEADOS SOLTEROS:</t>
  </si>
  <si>
    <t>EMPLEADOS PERMANENTES:</t>
  </si>
  <si>
    <t>CON 10 A MAS AÑOS DE SERVICIO:</t>
  </si>
  <si>
    <t>REPORTE GENERAL:</t>
  </si>
  <si>
    <t>REPORTE ESPECIALIZADO:</t>
  </si>
  <si>
    <t>EDAD PROMEDIO:</t>
  </si>
  <si>
    <t>REPORTE FINANCIERO:</t>
  </si>
  <si>
    <t>TOTAL DEL MES A PAGAR:</t>
  </si>
  <si>
    <t xml:space="preserve">TOTAL DE LOS EMPLEADOS VARONES: </t>
  </si>
  <si>
    <t xml:space="preserve">TOTAL DE LAS EMPLEADAS: </t>
  </si>
  <si>
    <t xml:space="preserve">TOTAL DE LOS EMPLEADAS VIUDAS: </t>
  </si>
  <si>
    <t xml:space="preserve">TOTAL DE LOS EMPLEADOS VARONES PERMANENTES: </t>
  </si>
  <si>
    <t>TOTAL DE LOS CASADOS:</t>
  </si>
  <si>
    <t>ALUMNOS</t>
  </si>
  <si>
    <t>María</t>
  </si>
  <si>
    <t>Julio</t>
  </si>
  <si>
    <t>Marcos</t>
  </si>
  <si>
    <t>Susana</t>
  </si>
  <si>
    <t>Rosa</t>
  </si>
  <si>
    <t>BUSQUEDA</t>
  </si>
  <si>
    <t>POSICIÓN</t>
  </si>
  <si>
    <t>FUNCION COINCIDIR</t>
  </si>
  <si>
    <t>FUNCION INDICE</t>
  </si>
  <si>
    <t>EXCEL</t>
  </si>
  <si>
    <t>WORD</t>
  </si>
  <si>
    <t>ACCES</t>
  </si>
  <si>
    <t>WINDOWS</t>
  </si>
  <si>
    <t>Word</t>
  </si>
  <si>
    <t>ADELANTO:</t>
  </si>
  <si>
    <t>10.- ADELANTO = 30% del basico</t>
  </si>
  <si>
    <t>12.- D. TOTAL = ADELANTO + ONP</t>
  </si>
  <si>
    <t>ADELANTO</t>
  </si>
  <si>
    <t>MARÍA</t>
  </si>
  <si>
    <t>JULIO</t>
  </si>
  <si>
    <t>MARCOS</t>
  </si>
  <si>
    <t>SUSANA</t>
  </si>
  <si>
    <t>ROSA</t>
  </si>
  <si>
    <t>NOTAS</t>
  </si>
  <si>
    <t xml:space="preserve"> 5.-  B. CIVIL = 150 para los casados, 150 viudos y 100 para solteros</t>
  </si>
  <si>
    <t xml:space="preserve"> 8.-  BON.2 =  30% de la suma de B.EMP y B.CIVIL para categoria A y B y 25% de la suma de B.EMP y B.CIVIL para C y D</t>
  </si>
  <si>
    <t xml:space="preserve"> 2.-  CÓDIGO (Mayusculs) = 2° letra A Paterno + Última letra A Paterno + 1° letra A Materno + Última letra A Materno +</t>
  </si>
  <si>
    <t xml:space="preserve">       1° letra Nombre + Ultima letra Nombre + 1° Cifra de la Edad + Sexo + las dos cifras de la edad</t>
  </si>
  <si>
    <t xml:space="preserve"> 3.-  BÁSICO = 1700 para permanente, 1400 para Contratado y 1100 para Eventual</t>
  </si>
  <si>
    <t xml:space="preserve"> 7.-  B. CAT = 35 para categoria A, 60 para B, 80 para C y 100 para D</t>
  </si>
  <si>
    <t>11.- ONP = 7% del basico</t>
  </si>
  <si>
    <t xml:space="preserve">EMPLEADOS CASADOS DE CATEGORIA "B": </t>
  </si>
  <si>
    <t xml:space="preserve">EMPLEADOS VARONES DE CATEGORIA "A": </t>
  </si>
  <si>
    <t>EMPLEADAS VIUDAS DE CATEGORÍA "C":</t>
  </si>
  <si>
    <t>EMPLEADAS CASADAS EVENTUALES MENOR A 12 AÑOS:</t>
  </si>
  <si>
    <t xml:space="preserve">TOTAL DE LOS EMPLEADAS VIUDAS MENOR A 8 AÑOS DE SERVICIO: </t>
  </si>
  <si>
    <t xml:space="preserve">TOTAL DE LOS EMPLEADOS VARONES EVENTUALES MAYOR A 3 AÑOS: </t>
  </si>
  <si>
    <t xml:space="preserve">ESCUELA DE TECNOLOGÍAS DE LA INFORMACIÓN </t>
  </si>
  <si>
    <t>ESCUELA DE TECNOLOGÍAS DE LA INFORMACIÓN</t>
  </si>
  <si>
    <t>Rojas</t>
  </si>
  <si>
    <t>Carlos</t>
  </si>
  <si>
    <t>Castro</t>
  </si>
  <si>
    <t>Laura</t>
  </si>
  <si>
    <t>Aguilar</t>
  </si>
  <si>
    <t>Ronald</t>
  </si>
  <si>
    <t>Galarza</t>
  </si>
  <si>
    <t>Ana</t>
  </si>
  <si>
    <t>Palma</t>
  </si>
  <si>
    <t>Quispe</t>
  </si>
  <si>
    <t>Freddy</t>
  </si>
  <si>
    <t>Portilla</t>
  </si>
  <si>
    <t>Medina</t>
  </si>
  <si>
    <t>Carolina</t>
  </si>
  <si>
    <t>Enrique</t>
  </si>
  <si>
    <t>Casas</t>
  </si>
  <si>
    <t>Sonia</t>
  </si>
  <si>
    <t>Ruiz</t>
  </si>
  <si>
    <t>Moreno</t>
  </si>
  <si>
    <t>Mori</t>
  </si>
  <si>
    <t>Suarez</t>
  </si>
  <si>
    <t>Yaranga</t>
  </si>
  <si>
    <t>Saya</t>
  </si>
  <si>
    <t>Condori</t>
  </si>
  <si>
    <t>Caro</t>
  </si>
  <si>
    <t>Romero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</si>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</sst>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S/&quot;\ * #,##0.00_-;\-&quot;S/&quot;\ * #,##0.00_-;_-&quot;S/&quot;\ * &quot;-&quot;??_-;_-@_-"/>
    <numFmt numFmtId="164" formatCode="_ * #,##0.00_ ;_ * \-#,##0.00_ ;_ * &quot;-&quot;??_ ;_ @_ "/>
    <numFmt numFmtId="165" formatCode="[$S/.-280A]\ #,##0.00"/>
    <numFmt numFmtId="166" formatCode="_-[$$-409]* #,##0.00_ ;_-[$$-409]* \-#,##0.00\ ;_-[$$-409]* &quot;-&quot;??_ ;_-@_ "/>
    <numFmt numFmtId="167" formatCode="_-[$S/-280A]\ * #,##0.00_-;\-[$S/-280A]\ * #,##0.00_-;_-[$S/-280A]\ * &quot;-&quot;??_-;_-@_-"/>
    <numFmt numFmtId="168" formatCode="&quot;S/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 Black"/>
      <family val="2"/>
    </font>
    <font>
      <sz val="9"/>
      <color theme="1"/>
      <name val="Arial"/>
      <family val="2"/>
    </font>
    <font>
      <b/>
      <sz val="9"/>
      <color indexed="9"/>
      <name val="Arial"/>
      <family val="2"/>
    </font>
    <font>
      <sz val="9"/>
      <color theme="1"/>
      <name val="Calibri"/>
      <family val="2"/>
      <scheme val="minor"/>
    </font>
    <font>
      <sz val="9"/>
      <color indexed="45"/>
      <name val="Arial"/>
      <family val="2"/>
    </font>
    <font>
      <sz val="9"/>
      <name val="Calibri"/>
      <family val="2"/>
      <scheme val="minor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8"/>
      <color indexed="9"/>
      <name val="Arial"/>
      <family val="2"/>
    </font>
    <font>
      <b/>
      <sz val="9"/>
      <color theme="9" tint="-0.249977111117893"/>
      <name val="Arial"/>
      <family val="2"/>
    </font>
    <font>
      <b/>
      <sz val="11"/>
      <color theme="9" tint="-0.249977111117893"/>
      <name val="Cambria"/>
      <family val="1"/>
      <scheme val="major"/>
    </font>
    <font>
      <b/>
      <sz val="12"/>
      <color theme="0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9"/>
      <color rgb="FFC00000"/>
      <name val="Arial"/>
      <family val="2"/>
    </font>
    <font>
      <sz val="9"/>
      <color rgb="FFC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theme="0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ck">
        <color auto="1"/>
      </right>
      <top/>
      <bottom style="thick">
        <color indexed="64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n">
        <color theme="0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theme="0"/>
      </right>
      <top style="thick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6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26" xfId="0" applyFont="1" applyBorder="1"/>
    <xf numFmtId="0" fontId="4" fillId="0" borderId="27" xfId="0" applyFont="1" applyBorder="1"/>
    <xf numFmtId="0" fontId="4" fillId="0" borderId="28" xfId="0" applyFont="1" applyBorder="1"/>
    <xf numFmtId="0" fontId="4" fillId="0" borderId="29" xfId="0" applyFont="1" applyBorder="1"/>
    <xf numFmtId="0" fontId="4" fillId="0" borderId="30" xfId="0" applyFont="1" applyBorder="1"/>
    <xf numFmtId="0" fontId="16" fillId="0" borderId="29" xfId="0" applyFont="1" applyBorder="1"/>
    <xf numFmtId="0" fontId="17" fillId="0" borderId="0" xfId="0" applyFont="1"/>
    <xf numFmtId="0" fontId="13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0" fillId="0" borderId="0" xfId="0" applyFont="1" applyAlignment="1">
      <alignment horizontal="right"/>
    </xf>
    <xf numFmtId="0" fontId="4" fillId="0" borderId="31" xfId="0" applyFont="1" applyBorder="1"/>
    <xf numFmtId="0" fontId="4" fillId="0" borderId="32" xfId="0" applyFont="1" applyBorder="1"/>
    <xf numFmtId="0" fontId="4" fillId="0" borderId="33" xfId="0" applyFont="1" applyBorder="1"/>
    <xf numFmtId="0" fontId="5" fillId="4" borderId="5" xfId="0" applyFont="1" applyFill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5" fillId="4" borderId="36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" fillId="0" borderId="0" xfId="0" applyFont="1"/>
    <xf numFmtId="0" fontId="14" fillId="0" borderId="24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11" fillId="4" borderId="6" xfId="0" applyFont="1" applyFill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9" fontId="9" fillId="0" borderId="12" xfId="2" applyFont="1" applyFill="1" applyBorder="1" applyAlignment="1">
      <alignment horizontal="center" vertical="center"/>
    </xf>
    <xf numFmtId="9" fontId="9" fillId="0" borderId="13" xfId="2" applyFont="1" applyFill="1" applyBorder="1" applyAlignment="1">
      <alignment horizontal="center" vertical="center"/>
    </xf>
    <xf numFmtId="9" fontId="9" fillId="0" borderId="1" xfId="2" applyFont="1" applyFill="1" applyBorder="1" applyAlignment="1">
      <alignment horizontal="center" vertical="center"/>
    </xf>
    <xf numFmtId="9" fontId="9" fillId="0" borderId="1" xfId="2" applyFont="1" applyBorder="1" applyAlignment="1">
      <alignment horizontal="center" vertical="center"/>
    </xf>
    <xf numFmtId="9" fontId="9" fillId="0" borderId="12" xfId="2" applyFont="1" applyBorder="1" applyAlignment="1">
      <alignment horizontal="center" vertical="center"/>
    </xf>
    <xf numFmtId="0" fontId="14" fillId="0" borderId="0" xfId="0" applyFont="1"/>
    <xf numFmtId="0" fontId="20" fillId="0" borderId="0" xfId="0" applyFont="1" applyAlignment="1">
      <alignment horizontal="left"/>
    </xf>
    <xf numFmtId="0" fontId="9" fillId="0" borderId="6" xfId="0" applyFont="1" applyBorder="1" applyAlignment="1">
      <alignment horizontal="center" vertical="center"/>
    </xf>
    <xf numFmtId="0" fontId="12" fillId="0" borderId="0" xfId="0" applyFont="1"/>
    <xf numFmtId="0" fontId="20" fillId="0" borderId="42" xfId="0" applyFont="1" applyBorder="1"/>
    <xf numFmtId="0" fontId="14" fillId="0" borderId="43" xfId="0" applyFont="1" applyBorder="1" applyAlignment="1">
      <alignment horizontal="center" vertical="center"/>
    </xf>
    <xf numFmtId="0" fontId="12" fillId="4" borderId="44" xfId="0" applyFont="1" applyFill="1" applyBorder="1" applyAlignment="1">
      <alignment horizontal="center" vertical="center"/>
    </xf>
    <xf numFmtId="0" fontId="12" fillId="4" borderId="4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5" fillId="4" borderId="37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3" fillId="4" borderId="4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4" fillId="0" borderId="0" xfId="0" applyFont="1" applyAlignment="1">
      <alignment vertical="center"/>
    </xf>
    <xf numFmtId="165" fontId="9" fillId="0" borderId="1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0" fontId="5" fillId="4" borderId="53" xfId="0" applyFont="1" applyFill="1" applyBorder="1" applyAlignment="1">
      <alignment horizontal="center"/>
    </xf>
    <xf numFmtId="0" fontId="5" fillId="4" borderId="54" xfId="0" applyFont="1" applyFill="1" applyBorder="1" applyAlignment="1">
      <alignment horizontal="center"/>
    </xf>
    <xf numFmtId="0" fontId="5" fillId="4" borderId="54" xfId="0" applyFont="1" applyFill="1" applyBorder="1" applyAlignment="1">
      <alignment horizontal="center" vertical="center"/>
    </xf>
    <xf numFmtId="0" fontId="14" fillId="0" borderId="55" xfId="0" applyFont="1" applyBorder="1" applyAlignment="1">
      <alignment horizontal="left"/>
    </xf>
    <xf numFmtId="0" fontId="14" fillId="0" borderId="55" xfId="0" applyFont="1" applyBorder="1" applyAlignment="1">
      <alignment horizontal="center"/>
    </xf>
    <xf numFmtId="0" fontId="14" fillId="0" borderId="12" xfId="0" applyFont="1" applyBorder="1" applyAlignment="1">
      <alignment horizontal="left"/>
    </xf>
    <xf numFmtId="0" fontId="14" fillId="0" borderId="12" xfId="0" applyFont="1" applyBorder="1" applyAlignment="1">
      <alignment horizontal="center"/>
    </xf>
    <xf numFmtId="0" fontId="23" fillId="4" borderId="57" xfId="0" applyFont="1" applyFill="1" applyBorder="1" applyAlignment="1">
      <alignment horizontal="center" vertical="center"/>
    </xf>
    <xf numFmtId="0" fontId="23" fillId="4" borderId="58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167" fontId="9" fillId="0" borderId="1" xfId="1" applyNumberFormat="1" applyFont="1" applyFill="1" applyBorder="1" applyAlignment="1">
      <alignment horizontal="center" vertical="center"/>
    </xf>
    <xf numFmtId="167" fontId="9" fillId="3" borderId="23" xfId="0" applyNumberFormat="1" applyFont="1" applyFill="1" applyBorder="1" applyAlignment="1">
      <alignment horizontal="center" vertical="center"/>
    </xf>
    <xf numFmtId="167" fontId="4" fillId="0" borderId="0" xfId="0" applyNumberFormat="1" applyFont="1"/>
    <xf numFmtId="167" fontId="13" fillId="0" borderId="0" xfId="0" applyNumberFormat="1" applyFont="1"/>
    <xf numFmtId="167" fontId="13" fillId="3" borderId="25" xfId="0" applyNumberFormat="1" applyFont="1" applyFill="1" applyBorder="1"/>
    <xf numFmtId="44" fontId="4" fillId="0" borderId="0" xfId="3" applyFont="1" applyBorder="1" applyProtection="1"/>
    <xf numFmtId="44" fontId="13" fillId="0" borderId="0" xfId="3" applyFont="1" applyBorder="1" applyProtection="1"/>
    <xf numFmtId="44" fontId="13" fillId="3" borderId="25" xfId="3" applyFont="1" applyFill="1" applyBorder="1" applyProtection="1"/>
    <xf numFmtId="0" fontId="14" fillId="0" borderId="19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0" fontId="14" fillId="0" borderId="68" xfId="0" applyFont="1" applyBorder="1" applyAlignment="1">
      <alignment horizontal="center"/>
    </xf>
    <xf numFmtId="0" fontId="5" fillId="4" borderId="69" xfId="0" applyFont="1" applyFill="1" applyBorder="1" applyAlignment="1">
      <alignment horizontal="center"/>
    </xf>
    <xf numFmtId="1" fontId="9" fillId="0" borderId="73" xfId="1" applyNumberFormat="1" applyFont="1" applyFill="1" applyBorder="1" applyAlignment="1">
      <alignment horizontal="center" vertical="center"/>
    </xf>
    <xf numFmtId="1" fontId="9" fillId="0" borderId="67" xfId="1" applyNumberFormat="1" applyFont="1" applyFill="1" applyBorder="1" applyAlignment="1">
      <alignment horizontal="center" vertical="center"/>
    </xf>
    <xf numFmtId="1" fontId="9" fillId="0" borderId="74" xfId="1" applyNumberFormat="1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167" fontId="9" fillId="3" borderId="75" xfId="0" applyNumberFormat="1" applyFont="1" applyFill="1" applyBorder="1" applyAlignment="1">
      <alignment horizontal="center" vertical="center"/>
    </xf>
    <xf numFmtId="167" fontId="9" fillId="0" borderId="0" xfId="1" applyNumberFormat="1" applyFont="1" applyFill="1" applyBorder="1" applyAlignment="1">
      <alignment horizontal="center" vertical="center"/>
    </xf>
    <xf numFmtId="167" fontId="9" fillId="0" borderId="71" xfId="1" applyNumberFormat="1" applyFont="1" applyFill="1" applyBorder="1" applyAlignment="1">
      <alignment horizontal="center" vertical="center"/>
    </xf>
    <xf numFmtId="167" fontId="9" fillId="0" borderId="72" xfId="1" applyNumberFormat="1" applyFont="1" applyFill="1" applyBorder="1" applyAlignment="1">
      <alignment horizontal="center" vertical="center"/>
    </xf>
    <xf numFmtId="168" fontId="9" fillId="0" borderId="24" xfId="2" applyNumberFormat="1" applyFont="1" applyFill="1" applyBorder="1" applyAlignment="1">
      <alignment horizontal="center" vertical="center"/>
    </xf>
    <xf numFmtId="167" fontId="9" fillId="0" borderId="24" xfId="2" applyNumberFormat="1" applyFont="1" applyFill="1" applyBorder="1" applyAlignment="1">
      <alignment horizontal="center" vertical="center"/>
    </xf>
    <xf numFmtId="167" fontId="7" fillId="0" borderId="0" xfId="0" applyNumberFormat="1" applyFont="1"/>
    <xf numFmtId="168" fontId="9" fillId="3" borderId="23" xfId="2" applyNumberFormat="1" applyFont="1" applyFill="1" applyBorder="1" applyAlignment="1">
      <alignment horizontal="center" vertical="center"/>
    </xf>
    <xf numFmtId="167" fontId="9" fillId="0" borderId="67" xfId="1" applyNumberFormat="1" applyFont="1" applyFill="1" applyBorder="1" applyAlignment="1">
      <alignment horizontal="center" vertical="center"/>
    </xf>
    <xf numFmtId="167" fontId="9" fillId="0" borderId="73" xfId="1" applyNumberFormat="1" applyFont="1" applyFill="1" applyBorder="1" applyAlignment="1">
      <alignment horizontal="center" vertical="center"/>
    </xf>
    <xf numFmtId="167" fontId="9" fillId="0" borderId="74" xfId="1" applyNumberFormat="1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166" fontId="9" fillId="3" borderId="77" xfId="0" applyNumberFormat="1" applyFont="1" applyFill="1" applyBorder="1" applyAlignment="1">
      <alignment horizontal="center" vertical="center"/>
    </xf>
    <xf numFmtId="166" fontId="9" fillId="0" borderId="71" xfId="1" applyNumberFormat="1" applyFont="1" applyFill="1" applyBorder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9" fillId="0" borderId="72" xfId="1" applyNumberFormat="1" applyFont="1" applyFill="1" applyBorder="1" applyAlignment="1">
      <alignment horizontal="center" vertical="center"/>
    </xf>
    <xf numFmtId="0" fontId="9" fillId="0" borderId="78" xfId="1" applyNumberFormat="1" applyFont="1" applyFill="1" applyBorder="1" applyAlignment="1">
      <alignment horizontal="center"/>
    </xf>
    <xf numFmtId="14" fontId="14" fillId="0" borderId="20" xfId="0" applyNumberFormat="1" applyFont="1" applyBorder="1" applyAlignment="1">
      <alignment horizontal="center"/>
    </xf>
    <xf numFmtId="14" fontId="14" fillId="0" borderId="24" xfId="0" applyNumberFormat="1" applyFont="1" applyBorder="1" applyAlignment="1">
      <alignment horizontal="center"/>
    </xf>
    <xf numFmtId="14" fontId="14" fillId="0" borderId="56" xfId="0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0" fontId="14" fillId="0" borderId="73" xfId="0" applyFont="1" applyBorder="1" applyAlignment="1">
      <alignment horizontal="left"/>
    </xf>
    <xf numFmtId="0" fontId="14" fillId="0" borderId="41" xfId="0" applyFont="1" applyBorder="1" applyAlignment="1">
      <alignment horizontal="left"/>
    </xf>
    <xf numFmtId="0" fontId="14" fillId="0" borderId="82" xfId="0" applyFont="1" applyBorder="1" applyAlignment="1">
      <alignment horizontal="left"/>
    </xf>
    <xf numFmtId="0" fontId="14" fillId="0" borderId="67" xfId="0" applyFont="1" applyBorder="1" applyAlignment="1">
      <alignment horizontal="left"/>
    </xf>
    <xf numFmtId="0" fontId="14" fillId="0" borderId="74" xfId="0" applyFont="1" applyBorder="1" applyAlignment="1">
      <alignment horizontal="left"/>
    </xf>
    <xf numFmtId="0" fontId="14" fillId="0" borderId="42" xfId="0" applyFont="1" applyBorder="1" applyAlignment="1">
      <alignment horizontal="left"/>
    </xf>
    <xf numFmtId="0" fontId="14" fillId="0" borderId="83" xfId="0" applyFont="1" applyBorder="1" applyAlignment="1">
      <alignment horizontal="left"/>
    </xf>
    <xf numFmtId="167" fontId="9" fillId="0" borderId="0" xfId="2" applyNumberFormat="1" applyFont="1" applyFill="1" applyBorder="1" applyAlignment="1">
      <alignment horizontal="center" vertical="center"/>
    </xf>
    <xf numFmtId="167" fontId="9" fillId="0" borderId="41" xfId="1" applyNumberFormat="1" applyFont="1" applyFill="1" applyBorder="1" applyAlignment="1">
      <alignment horizontal="center" vertical="center"/>
    </xf>
    <xf numFmtId="167" fontId="9" fillId="0" borderId="42" xfId="1" applyNumberFormat="1" applyFont="1" applyFill="1" applyBorder="1" applyAlignment="1">
      <alignment horizontal="center" vertical="center"/>
    </xf>
    <xf numFmtId="1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>
      <alignment horizontal="right"/>
    </xf>
    <xf numFmtId="168" fontId="4" fillId="0" borderId="0" xfId="0" applyNumberFormat="1" applyFont="1"/>
    <xf numFmtId="167" fontId="13" fillId="0" borderId="0" xfId="0" applyNumberFormat="1" applyFont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/>
    </xf>
    <xf numFmtId="0" fontId="12" fillId="4" borderId="70" xfId="0" applyFont="1" applyFill="1" applyBorder="1" applyAlignment="1">
      <alignment horizontal="center" vertical="center"/>
    </xf>
    <xf numFmtId="0" fontId="12" fillId="4" borderId="22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5" fillId="4" borderId="79" xfId="0" applyFont="1" applyFill="1" applyBorder="1" applyAlignment="1">
      <alignment horizontal="center"/>
    </xf>
    <xf numFmtId="0" fontId="5" fillId="4" borderId="80" xfId="0" applyFont="1" applyFill="1" applyBorder="1" applyAlignment="1">
      <alignment horizontal="center"/>
    </xf>
    <xf numFmtId="0" fontId="5" fillId="4" borderId="81" xfId="0" applyFont="1" applyFill="1" applyBorder="1" applyAlignment="1">
      <alignment horizontal="center"/>
    </xf>
    <xf numFmtId="44" fontId="13" fillId="0" borderId="0" xfId="3" applyFont="1" applyBorder="1" applyAlignment="1" applyProtection="1">
      <alignment horizontal="center"/>
    </xf>
    <xf numFmtId="166" fontId="13" fillId="0" borderId="0" xfId="0" applyNumberFormat="1" applyFont="1" applyAlignment="1">
      <alignment horizontal="center"/>
    </xf>
    <xf numFmtId="0" fontId="18" fillId="4" borderId="38" xfId="0" applyFont="1" applyFill="1" applyBorder="1" applyAlignment="1">
      <alignment horizontal="center"/>
    </xf>
    <xf numFmtId="0" fontId="18" fillId="4" borderId="39" xfId="0" applyFont="1" applyFill="1" applyBorder="1" applyAlignment="1">
      <alignment horizontal="center"/>
    </xf>
    <xf numFmtId="0" fontId="18" fillId="4" borderId="40" xfId="0" applyFont="1" applyFill="1" applyBorder="1" applyAlignment="1">
      <alignment horizontal="center"/>
    </xf>
    <xf numFmtId="0" fontId="19" fillId="4" borderId="38" xfId="0" applyFont="1" applyFill="1" applyBorder="1" applyAlignment="1">
      <alignment horizontal="center"/>
    </xf>
    <xf numFmtId="0" fontId="19" fillId="4" borderId="39" xfId="0" applyFont="1" applyFill="1" applyBorder="1" applyAlignment="1">
      <alignment horizontal="center"/>
    </xf>
    <xf numFmtId="0" fontId="19" fillId="4" borderId="4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2" fillId="4" borderId="38" xfId="0" applyFont="1" applyFill="1" applyBorder="1" applyAlignment="1">
      <alignment horizontal="center"/>
    </xf>
    <xf numFmtId="0" fontId="12" fillId="4" borderId="4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2" fillId="4" borderId="39" xfId="0" applyFont="1" applyFill="1" applyBorder="1" applyAlignment="1">
      <alignment horizontal="center"/>
    </xf>
    <xf numFmtId="0" fontId="20" fillId="0" borderId="41" xfId="0" applyFont="1" applyBorder="1" applyAlignment="1">
      <alignment horizontal="left"/>
    </xf>
    <xf numFmtId="0" fontId="22" fillId="3" borderId="6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22" fillId="3" borderId="8" xfId="0" applyFont="1" applyFill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/>
    </xf>
    <xf numFmtId="0" fontId="25" fillId="3" borderId="7" xfId="0" applyFont="1" applyFill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</cellXfs>
  <cellStyles count="4">
    <cellStyle name="Millares" xfId="1" builtinId="3"/>
    <cellStyle name="Moneda" xfId="3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9900CC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B1:Z42"/>
  <sheetViews>
    <sheetView showGridLines="0" zoomScale="70" zoomScaleNormal="70" workbookViewId="0">
      <pane ySplit="5" topLeftCell="A6" activePane="bottomLeft" state="frozen"/>
      <selection pane="bottomLeft" activeCell="T26" sqref="T26"/>
    </sheetView>
  </sheetViews>
  <sheetFormatPr baseColWidth="10" defaultColWidth="11.44140625" defaultRowHeight="11.4" x14ac:dyDescent="0.2"/>
  <cols>
    <col min="1" max="1" width="3.109375" style="1" customWidth="1"/>
    <col min="2" max="2" width="15.44140625" style="1" customWidth="1"/>
    <col min="3" max="3" width="7.21875" style="1" bestFit="1" customWidth="1"/>
    <col min="4" max="4" width="8.5546875" style="1" bestFit="1" customWidth="1"/>
    <col min="5" max="5" width="8" style="1" bestFit="1" customWidth="1"/>
    <col min="6" max="6" width="11.5546875" style="1" customWidth="1"/>
    <col min="7" max="7" width="13.44140625" style="1" customWidth="1"/>
    <col min="8" max="8" width="7.6640625" style="1" customWidth="1"/>
    <col min="9" max="9" width="9.109375" style="1" customWidth="1"/>
    <col min="10" max="10" width="7.5546875" style="1" customWidth="1"/>
    <col min="11" max="11" width="7.6640625" style="1" customWidth="1"/>
    <col min="12" max="12" width="9.88671875" style="1" bestFit="1" customWidth="1"/>
    <col min="13" max="26" width="12.77734375" style="1" customWidth="1"/>
    <col min="27" max="16384" width="11.44140625" style="1"/>
  </cols>
  <sheetData>
    <row r="1" spans="2:26" customFormat="1" ht="14.4" hidden="1" x14ac:dyDescent="0.3">
      <c r="B1" s="26">
        <v>1</v>
      </c>
      <c r="C1" s="26">
        <v>2</v>
      </c>
      <c r="D1" s="26">
        <v>3</v>
      </c>
      <c r="E1" s="26">
        <v>4</v>
      </c>
      <c r="F1" s="26">
        <v>5</v>
      </c>
      <c r="G1" s="26">
        <v>6</v>
      </c>
      <c r="H1" s="26">
        <v>7</v>
      </c>
      <c r="I1" s="26">
        <v>8</v>
      </c>
      <c r="J1" s="26">
        <v>9</v>
      </c>
      <c r="K1" s="26">
        <v>10</v>
      </c>
      <c r="L1" s="26">
        <v>11</v>
      </c>
      <c r="M1" s="26">
        <v>12</v>
      </c>
      <c r="N1" s="26">
        <v>13</v>
      </c>
      <c r="O1" s="26">
        <v>14</v>
      </c>
      <c r="P1" s="26">
        <v>15</v>
      </c>
      <c r="Q1" s="26">
        <v>16</v>
      </c>
      <c r="R1" s="26">
        <v>17</v>
      </c>
      <c r="S1" s="26">
        <v>18</v>
      </c>
      <c r="T1" s="26">
        <v>19</v>
      </c>
      <c r="U1" s="26">
        <v>20</v>
      </c>
      <c r="V1" s="26">
        <v>21</v>
      </c>
      <c r="W1" s="26">
        <v>22</v>
      </c>
      <c r="X1" s="26">
        <v>23</v>
      </c>
      <c r="Y1" s="26">
        <v>24</v>
      </c>
      <c r="Z1" s="26">
        <v>25</v>
      </c>
    </row>
    <row r="2" spans="2:26" customFormat="1" ht="15" thickBot="1" x14ac:dyDescent="0.35"/>
    <row r="3" spans="2:26" ht="19.8" thickTop="1" thickBot="1" x14ac:dyDescent="0.5">
      <c r="H3" s="153" t="s">
        <v>22</v>
      </c>
      <c r="I3" s="154"/>
      <c r="J3" s="154"/>
      <c r="K3" s="154"/>
      <c r="L3" s="154"/>
      <c r="M3" s="154"/>
      <c r="N3" s="154"/>
      <c r="O3" s="154"/>
      <c r="P3" s="155"/>
    </row>
    <row r="4" spans="2:26" ht="12.6" thickTop="1" thickBot="1" x14ac:dyDescent="0.25"/>
    <row r="5" spans="2:26" ht="15.6" customHeight="1" thickTop="1" thickBot="1" x14ac:dyDescent="0.3">
      <c r="B5" s="82" t="s">
        <v>38</v>
      </c>
      <c r="C5" s="169" t="s">
        <v>11</v>
      </c>
      <c r="D5" s="170"/>
      <c r="E5" s="171"/>
      <c r="F5" s="83" t="s">
        <v>25</v>
      </c>
      <c r="G5" s="83" t="s">
        <v>13</v>
      </c>
      <c r="H5" s="83" t="s">
        <v>14</v>
      </c>
      <c r="I5" s="83" t="s">
        <v>26</v>
      </c>
      <c r="J5" s="83" t="s">
        <v>27</v>
      </c>
      <c r="K5" s="83" t="s">
        <v>16</v>
      </c>
      <c r="L5" s="112" t="s">
        <v>12</v>
      </c>
      <c r="M5" s="116" t="s">
        <v>18</v>
      </c>
      <c r="N5" s="84" t="s">
        <v>61</v>
      </c>
      <c r="O5" s="84" t="s">
        <v>19</v>
      </c>
      <c r="P5" s="84" t="s">
        <v>28</v>
      </c>
      <c r="Q5" s="84" t="s">
        <v>29</v>
      </c>
      <c r="R5" s="84" t="s">
        <v>30</v>
      </c>
      <c r="S5" s="116" t="s">
        <v>31</v>
      </c>
      <c r="T5" s="116" t="s">
        <v>32</v>
      </c>
      <c r="U5" s="116" t="s">
        <v>20</v>
      </c>
      <c r="V5" s="116" t="s">
        <v>112</v>
      </c>
      <c r="W5" s="116" t="s">
        <v>40</v>
      </c>
      <c r="X5" s="116" t="s">
        <v>21</v>
      </c>
      <c r="Y5" s="116" t="s">
        <v>46</v>
      </c>
      <c r="Z5" s="128" t="s">
        <v>47</v>
      </c>
    </row>
    <row r="6" spans="2:26" ht="15" customHeight="1" thickBot="1" x14ac:dyDescent="0.3">
      <c r="B6" s="133" t="str">
        <f ca="1">UPPER(LEFT(C6,2)&amp;RIGHT(C6,1)&amp;LEFT(D6,1)&amp;RIGHT(D6,1)&amp;LEFT(E6,1)&amp;RIGHT(E6,1)&amp;LEFT(L6,1))&amp;K6&amp;L6</f>
        <v>ROSRZCS4M44</v>
      </c>
      <c r="C6" s="138" t="s">
        <v>134</v>
      </c>
      <c r="D6" s="139" t="s">
        <v>151</v>
      </c>
      <c r="E6" s="140" t="s">
        <v>135</v>
      </c>
      <c r="F6" s="134">
        <v>29506</v>
      </c>
      <c r="G6" s="85" t="s">
        <v>0</v>
      </c>
      <c r="H6" s="86" t="s">
        <v>1</v>
      </c>
      <c r="I6" s="86" t="s">
        <v>2</v>
      </c>
      <c r="J6" s="86">
        <v>15</v>
      </c>
      <c r="K6" s="109" t="s">
        <v>3</v>
      </c>
      <c r="L6" s="113">
        <f ca="1">YEAR(TODAY())-YEAR(F6)</f>
        <v>44</v>
      </c>
      <c r="M6" s="119">
        <f>IF(G6=$M$23,$N$23,IF(G6=$M$24,$N$24,$N$25))</f>
        <v>1700</v>
      </c>
      <c r="N6" s="122">
        <f>M6+(M6*IF(G6=$M$23,$O$23,IF(G6=$M$24,$O$24,$O$25)))</f>
        <v>1870</v>
      </c>
      <c r="O6" s="121">
        <f>IF(H6=$M$31,$N$31,IF(H6=$M$32,$N$32,$N$33))</f>
        <v>150</v>
      </c>
      <c r="P6" s="121">
        <f>(M6*IF(H6=$M$31,$O$31,IF(H6=$M$32,$O$32,$O$33)))</f>
        <v>255</v>
      </c>
      <c r="Q6" s="121">
        <f t="shared" ref="Q6:Q15" si="0">VLOOKUP($Q$5,$M$39:$Q$40,MATCH(I6,$N$38:$Q$38,0)+1)</f>
        <v>35</v>
      </c>
      <c r="R6" s="145">
        <f>N6+O6*(VLOOKUP($R$5,$M$39:$Q$40,MATCH(I6,$N$38:$Q$38,0)+1))</f>
        <v>1915</v>
      </c>
      <c r="S6" s="126">
        <f>IF(AND(G6=$M$23,K6=$P$22),$P$23,IF(AND(G6=$M$24,K6,$P$22),$P$24,IF(AND(G6=$M$25,K6=$P$22),$P$25,IF(AND(G6=$M$23,K6=$Q$22),$Q$23,IF(AND(G6=$M$24,K6=$Q$22),$Q$24,$Q$25)))))</f>
        <v>50</v>
      </c>
      <c r="T6" s="125">
        <f>IF(AND(H6=$M$31,J6&gt;=11),$P$31,IF(AND(H6=$M$32,J6&gt;=11),$P$32,IF(AND(H6=$M$33,J6&gt;=11),$P$33,IF(AND(H6=$M$31,J6&lt;=10),$Q$31,IF(AND(H6=$M$32,J6&lt;=10),$Q$32,$Q$33)))))</f>
        <v>40</v>
      </c>
      <c r="U6" s="119">
        <f>SUM(P6:T6)</f>
        <v>2295</v>
      </c>
      <c r="V6" s="146">
        <f>M6*30%</f>
        <v>510</v>
      </c>
      <c r="W6" s="126">
        <f>M6*7%</f>
        <v>119.00000000000001</v>
      </c>
      <c r="X6" s="126">
        <f>V6+W6</f>
        <v>629</v>
      </c>
      <c r="Y6" s="126">
        <f>(M6+U6)-X6</f>
        <v>3366</v>
      </c>
      <c r="Z6" s="130">
        <f>Y6/$H$36</f>
        <v>958.97435897435901</v>
      </c>
    </row>
    <row r="7" spans="2:26" ht="12.6" thickBot="1" x14ac:dyDescent="0.3">
      <c r="B7" s="133" t="str">
        <f t="shared" ref="B7:B15" ca="1" si="1">UPPER(LEFT(C7,2)&amp;RIGHT(C7,1)&amp;LEFT(D7,1)&amp;RIGHT(D7,1)&amp;LEFT(E7,1)&amp;RIGHT(E7,1)&amp;LEFT(L7,1))&amp;K7&amp;L7</f>
        <v>CAOMOLA4F40</v>
      </c>
      <c r="C7" s="141" t="s">
        <v>136</v>
      </c>
      <c r="D7" s="137" t="s">
        <v>152</v>
      </c>
      <c r="E7" s="27" t="s">
        <v>137</v>
      </c>
      <c r="F7" s="135">
        <v>30746</v>
      </c>
      <c r="G7" s="28" t="s">
        <v>4</v>
      </c>
      <c r="H7" s="29" t="s">
        <v>160</v>
      </c>
      <c r="I7" s="29" t="s">
        <v>6</v>
      </c>
      <c r="J7" s="29">
        <v>8</v>
      </c>
      <c r="K7" s="110" t="s">
        <v>7</v>
      </c>
      <c r="L7" s="114">
        <f t="shared" ref="L7:L15" ca="1" si="2">YEAR(TODAY())-YEAR(F7)</f>
        <v>40</v>
      </c>
      <c r="M7" s="101">
        <f t="shared" ref="M7:M15" si="3">IF(G7=$M$23,$N$23,IF(G7=$M$24,$N$24,$N$25))</f>
        <v>1400</v>
      </c>
      <c r="N7" s="122">
        <f t="shared" ref="N7:N15" si="4">M7+(M7*IF(G7=$M$23,$O$23,IF(G7=$M$24,$O$24,$O$25)))</f>
        <v>1512</v>
      </c>
      <c r="O7" s="121">
        <f t="shared" ref="O7:O15" si="5">IF(H7=$M$31,$N$31,IF(H7=$M$32,$N$32,$N$33))</f>
        <v>100</v>
      </c>
      <c r="P7" s="121">
        <f t="shared" ref="P7:P15" si="6">(M7*IF(H7=$M$31,$O$31,IF(H7=$M$32,$O$32,$O$33)))</f>
        <v>112</v>
      </c>
      <c r="Q7" s="121">
        <f t="shared" si="0"/>
        <v>60</v>
      </c>
      <c r="R7" s="145">
        <f t="shared" ref="R7:R15" si="7">N7+O7*(VLOOKUP($R$5,$M$39:$Q$40,MATCH(I7,$N$38:$Q$38,0)+1))</f>
        <v>1542</v>
      </c>
      <c r="S7" s="125">
        <f t="shared" ref="S7:S15" si="8">IF(AND(G7=$M$23,K7=$P$22),$P$23,IF(AND(G7=$M$24,K7,$P$22),$P$24,IF(AND(G7=$M$25,K7=$P$22),$P$25,IF(AND(G7=$M$23,K7=$Q$22),$Q$23,IF(AND(G7=$M$24,K7=$Q$22),$Q$24,$Q$25)))))</f>
        <v>60</v>
      </c>
      <c r="T7" s="125">
        <f>IF(AND(H7=$M$31,J7&gt;=11),$P$31,IF(AND(H7=$M$32,J7&gt;=11),$P$32,IF(AND(H7=$M$33,J7&gt;=11),$P$33,IF(AND(H7=$M$31,J7&lt;=10),$Q$31,IF(AND(H7=$M$32,J7&lt;=10),$Q$32,$Q$33)))))</f>
        <v>50</v>
      </c>
      <c r="U7" s="101">
        <f t="shared" ref="U7:U15" si="9">SUM(P7:T7)</f>
        <v>1824</v>
      </c>
      <c r="V7" s="118">
        <f t="shared" ref="V7:V15" si="10">M7*30%</f>
        <v>420</v>
      </c>
      <c r="W7" s="125">
        <f t="shared" ref="W7:W15" si="11">M7*7%</f>
        <v>98.000000000000014</v>
      </c>
      <c r="X7" s="125">
        <f t="shared" ref="X7:X15" si="12">V7+W7</f>
        <v>518</v>
      </c>
      <c r="Y7" s="125">
        <f t="shared" ref="Y7:Y15" si="13">(M7+U7)-X7</f>
        <v>2706</v>
      </c>
      <c r="Z7" s="131">
        <f>Y7/$H$36</f>
        <v>770.94017094017101</v>
      </c>
    </row>
    <row r="8" spans="2:26" ht="12.6" thickBot="1" x14ac:dyDescent="0.3">
      <c r="B8" s="133" t="str">
        <f t="shared" ca="1" si="1"/>
        <v>AGRMIRD3M39</v>
      </c>
      <c r="C8" s="141" t="s">
        <v>138</v>
      </c>
      <c r="D8" s="137" t="s">
        <v>153</v>
      </c>
      <c r="E8" s="27" t="s">
        <v>139</v>
      </c>
      <c r="F8" s="135">
        <v>31399</v>
      </c>
      <c r="G8" s="28" t="s">
        <v>8</v>
      </c>
      <c r="H8" s="29" t="s">
        <v>1</v>
      </c>
      <c r="I8" s="29" t="s">
        <v>1</v>
      </c>
      <c r="J8" s="29">
        <v>5</v>
      </c>
      <c r="K8" s="110" t="s">
        <v>3</v>
      </c>
      <c r="L8" s="114">
        <f t="shared" ca="1" si="2"/>
        <v>39</v>
      </c>
      <c r="M8" s="101">
        <f t="shared" si="3"/>
        <v>1100</v>
      </c>
      <c r="N8" s="122">
        <f t="shared" si="4"/>
        <v>1155</v>
      </c>
      <c r="O8" s="121">
        <f t="shared" si="5"/>
        <v>150</v>
      </c>
      <c r="P8" s="121">
        <f t="shared" si="6"/>
        <v>165</v>
      </c>
      <c r="Q8" s="121">
        <f t="shared" si="0"/>
        <v>80</v>
      </c>
      <c r="R8" s="145">
        <f t="shared" si="7"/>
        <v>1192.5</v>
      </c>
      <c r="S8" s="125">
        <f t="shared" si="8"/>
        <v>70</v>
      </c>
      <c r="T8" s="125">
        <f>IF(AND(H8=$M$31,J8&gt;=11),$P$31,IF(AND(H8=$M$32,J8&gt;=11),$P$32,IF(AND(H8=$M$33,J8&gt;=11),$P$33,IF(AND(H8=$M$31,J8&lt;=10),$Q$31,IF(AND(H8=$M$32,J8&lt;=10),$Q$32,$Q$33)))))</f>
        <v>80</v>
      </c>
      <c r="U8" s="101">
        <f t="shared" si="9"/>
        <v>1587.5</v>
      </c>
      <c r="V8" s="118">
        <f t="shared" si="10"/>
        <v>330</v>
      </c>
      <c r="W8" s="125">
        <f t="shared" si="11"/>
        <v>77.000000000000014</v>
      </c>
      <c r="X8" s="125">
        <f t="shared" si="12"/>
        <v>407</v>
      </c>
      <c r="Y8" s="125">
        <f t="shared" si="13"/>
        <v>2280.5</v>
      </c>
      <c r="Z8" s="131">
        <f t="shared" ref="Z8:Z15" si="14">Y8/$H$36</f>
        <v>649.71509971509977</v>
      </c>
    </row>
    <row r="9" spans="2:26" ht="12.6" thickBot="1" x14ac:dyDescent="0.3">
      <c r="B9" s="133" t="str">
        <f t="shared" ca="1" si="1"/>
        <v>GAARSAA4F45</v>
      </c>
      <c r="C9" s="141" t="s">
        <v>140</v>
      </c>
      <c r="D9" s="137" t="s">
        <v>134</v>
      </c>
      <c r="E9" s="27" t="s">
        <v>141</v>
      </c>
      <c r="F9" s="135">
        <v>28880</v>
      </c>
      <c r="G9" s="28" t="s">
        <v>0</v>
      </c>
      <c r="H9" s="29" t="s">
        <v>5</v>
      </c>
      <c r="I9" s="29" t="s">
        <v>9</v>
      </c>
      <c r="J9" s="29">
        <v>11</v>
      </c>
      <c r="K9" s="110" t="s">
        <v>7</v>
      </c>
      <c r="L9" s="114">
        <f t="shared" ca="1" si="2"/>
        <v>45</v>
      </c>
      <c r="M9" s="101">
        <f t="shared" si="3"/>
        <v>1700</v>
      </c>
      <c r="N9" s="122">
        <f t="shared" si="4"/>
        <v>1870</v>
      </c>
      <c r="O9" s="121">
        <f t="shared" si="5"/>
        <v>150</v>
      </c>
      <c r="P9" s="121">
        <f t="shared" si="6"/>
        <v>204</v>
      </c>
      <c r="Q9" s="121">
        <f t="shared" si="0"/>
        <v>100</v>
      </c>
      <c r="R9" s="145">
        <f t="shared" si="7"/>
        <v>1907.5</v>
      </c>
      <c r="S9" s="125">
        <f t="shared" si="8"/>
        <v>80</v>
      </c>
      <c r="T9" s="125">
        <f t="shared" ref="T9:T15" si="15">IF(AND(H9=$M$31,J9&gt;=11),$P$31,IF(AND(H9=$M$32,J9&gt;=11),$P$32,IF(AND(H9=$M$33,J9&gt;=11),$P$33,IF(AND(H9=$M$31,J9&lt;=10),$Q$31,IF(AND(H9=$M$32,J9&lt;=10),$Q$32,$Q$33)))))</f>
        <v>45</v>
      </c>
      <c r="U9" s="101">
        <f t="shared" si="9"/>
        <v>2336.5</v>
      </c>
      <c r="V9" s="118">
        <f t="shared" si="10"/>
        <v>510</v>
      </c>
      <c r="W9" s="125">
        <f t="shared" si="11"/>
        <v>119.00000000000001</v>
      </c>
      <c r="X9" s="125">
        <f t="shared" si="12"/>
        <v>629</v>
      </c>
      <c r="Y9" s="125">
        <f t="shared" si="13"/>
        <v>3407.5</v>
      </c>
      <c r="Z9" s="131">
        <f t="shared" si="14"/>
        <v>970.7977207977209</v>
      </c>
    </row>
    <row r="10" spans="2:26" ht="12.6" thickBot="1" x14ac:dyDescent="0.3">
      <c r="B10" s="133" t="str">
        <f t="shared" ca="1" si="1"/>
        <v>PAASZRA4F43</v>
      </c>
      <c r="C10" s="141" t="s">
        <v>142</v>
      </c>
      <c r="D10" s="137" t="s">
        <v>154</v>
      </c>
      <c r="E10" s="27" t="s">
        <v>99</v>
      </c>
      <c r="F10" s="135">
        <v>29776</v>
      </c>
      <c r="G10" s="28" t="s">
        <v>4</v>
      </c>
      <c r="H10" s="29" t="s">
        <v>10</v>
      </c>
      <c r="I10" s="29" t="s">
        <v>2</v>
      </c>
      <c r="J10" s="29">
        <v>10</v>
      </c>
      <c r="K10" s="110" t="s">
        <v>7</v>
      </c>
      <c r="L10" s="114">
        <f t="shared" ca="1" si="2"/>
        <v>43</v>
      </c>
      <c r="M10" s="101">
        <f t="shared" si="3"/>
        <v>1400</v>
      </c>
      <c r="N10" s="122">
        <f t="shared" si="4"/>
        <v>1512</v>
      </c>
      <c r="O10" s="121">
        <f t="shared" si="5"/>
        <v>100</v>
      </c>
      <c r="P10" s="121">
        <f t="shared" si="6"/>
        <v>112</v>
      </c>
      <c r="Q10" s="121">
        <f t="shared" si="0"/>
        <v>35</v>
      </c>
      <c r="R10" s="145">
        <f t="shared" si="7"/>
        <v>1542</v>
      </c>
      <c r="S10" s="125">
        <f t="shared" si="8"/>
        <v>60</v>
      </c>
      <c r="T10" s="125">
        <f t="shared" si="15"/>
        <v>50</v>
      </c>
      <c r="U10" s="101">
        <f t="shared" si="9"/>
        <v>1799</v>
      </c>
      <c r="V10" s="118">
        <f t="shared" si="10"/>
        <v>420</v>
      </c>
      <c r="W10" s="125">
        <f t="shared" si="11"/>
        <v>98.000000000000014</v>
      </c>
      <c r="X10" s="125">
        <f t="shared" si="12"/>
        <v>518</v>
      </c>
      <c r="Y10" s="125">
        <f t="shared" si="13"/>
        <v>2681</v>
      </c>
      <c r="Z10" s="131">
        <f t="shared" si="14"/>
        <v>763.81766381766386</v>
      </c>
    </row>
    <row r="11" spans="2:26" ht="12.6" thickBot="1" x14ac:dyDescent="0.3">
      <c r="B11" s="133" t="str">
        <f t="shared" ca="1" si="1"/>
        <v>QUEYAFY4M49</v>
      </c>
      <c r="C11" s="141" t="s">
        <v>143</v>
      </c>
      <c r="D11" s="137" t="s">
        <v>155</v>
      </c>
      <c r="E11" s="27" t="s">
        <v>144</v>
      </c>
      <c r="F11" s="135">
        <v>27430</v>
      </c>
      <c r="G11" s="28" t="s">
        <v>0</v>
      </c>
      <c r="H11" s="29" t="s">
        <v>1</v>
      </c>
      <c r="I11" s="29" t="s">
        <v>6</v>
      </c>
      <c r="J11" s="29">
        <v>17</v>
      </c>
      <c r="K11" s="110" t="s">
        <v>3</v>
      </c>
      <c r="L11" s="114">
        <f t="shared" ca="1" si="2"/>
        <v>49</v>
      </c>
      <c r="M11" s="101">
        <f t="shared" si="3"/>
        <v>1700</v>
      </c>
      <c r="N11" s="122">
        <f t="shared" si="4"/>
        <v>1870</v>
      </c>
      <c r="O11" s="121">
        <f t="shared" si="5"/>
        <v>150</v>
      </c>
      <c r="P11" s="121">
        <f t="shared" si="6"/>
        <v>255</v>
      </c>
      <c r="Q11" s="121">
        <f t="shared" si="0"/>
        <v>60</v>
      </c>
      <c r="R11" s="145">
        <f t="shared" si="7"/>
        <v>1915</v>
      </c>
      <c r="S11" s="125">
        <f t="shared" si="8"/>
        <v>50</v>
      </c>
      <c r="T11" s="125">
        <f t="shared" si="15"/>
        <v>40</v>
      </c>
      <c r="U11" s="101">
        <f t="shared" si="9"/>
        <v>2320</v>
      </c>
      <c r="V11" s="118">
        <f t="shared" si="10"/>
        <v>510</v>
      </c>
      <c r="W11" s="125">
        <f t="shared" si="11"/>
        <v>119.00000000000001</v>
      </c>
      <c r="X11" s="125">
        <f t="shared" si="12"/>
        <v>629</v>
      </c>
      <c r="Y11" s="125">
        <f t="shared" si="13"/>
        <v>3391</v>
      </c>
      <c r="Z11" s="131">
        <f t="shared" si="14"/>
        <v>966.09686609686617</v>
      </c>
    </row>
    <row r="12" spans="2:26" ht="12.6" thickBot="1" x14ac:dyDescent="0.3">
      <c r="B12" s="133" t="str">
        <f t="shared" ca="1" si="1"/>
        <v>POASACS4M46</v>
      </c>
      <c r="C12" s="141" t="s">
        <v>145</v>
      </c>
      <c r="D12" s="137" t="s">
        <v>156</v>
      </c>
      <c r="E12" s="27" t="s">
        <v>135</v>
      </c>
      <c r="F12" s="135">
        <v>28732</v>
      </c>
      <c r="G12" s="28" t="s">
        <v>8</v>
      </c>
      <c r="H12" s="29" t="s">
        <v>5</v>
      </c>
      <c r="I12" s="29" t="s">
        <v>9</v>
      </c>
      <c r="J12" s="29">
        <v>13</v>
      </c>
      <c r="K12" s="110" t="s">
        <v>3</v>
      </c>
      <c r="L12" s="114">
        <f t="shared" ca="1" si="2"/>
        <v>46</v>
      </c>
      <c r="M12" s="101">
        <f t="shared" si="3"/>
        <v>1100</v>
      </c>
      <c r="N12" s="122">
        <f t="shared" si="4"/>
        <v>1155</v>
      </c>
      <c r="O12" s="121">
        <f t="shared" si="5"/>
        <v>150</v>
      </c>
      <c r="P12" s="121">
        <f t="shared" si="6"/>
        <v>132</v>
      </c>
      <c r="Q12" s="121">
        <f t="shared" si="0"/>
        <v>100</v>
      </c>
      <c r="R12" s="145">
        <f t="shared" si="7"/>
        <v>1192.5</v>
      </c>
      <c r="S12" s="125">
        <f t="shared" si="8"/>
        <v>70</v>
      </c>
      <c r="T12" s="125">
        <f t="shared" si="15"/>
        <v>45</v>
      </c>
      <c r="U12" s="101">
        <f t="shared" si="9"/>
        <v>1539.5</v>
      </c>
      <c r="V12" s="118">
        <f t="shared" si="10"/>
        <v>330</v>
      </c>
      <c r="W12" s="125">
        <f t="shared" si="11"/>
        <v>77.000000000000014</v>
      </c>
      <c r="X12" s="125">
        <f t="shared" si="12"/>
        <v>407</v>
      </c>
      <c r="Y12" s="125">
        <f t="shared" si="13"/>
        <v>2232.5</v>
      </c>
      <c r="Z12" s="131">
        <f t="shared" si="14"/>
        <v>636.03988603988603</v>
      </c>
    </row>
    <row r="13" spans="2:26" ht="12.6" thickBot="1" x14ac:dyDescent="0.3">
      <c r="B13" s="133" t="str">
        <f t="shared" ca="1" si="1"/>
        <v>MEACICA4F44</v>
      </c>
      <c r="C13" s="141" t="s">
        <v>146</v>
      </c>
      <c r="D13" s="137" t="s">
        <v>157</v>
      </c>
      <c r="E13" s="27" t="s">
        <v>147</v>
      </c>
      <c r="F13" s="135">
        <v>29389</v>
      </c>
      <c r="G13" s="28" t="s">
        <v>0</v>
      </c>
      <c r="H13" s="29" t="s">
        <v>5</v>
      </c>
      <c r="I13" s="29" t="s">
        <v>1</v>
      </c>
      <c r="J13" s="29">
        <v>11</v>
      </c>
      <c r="K13" s="110" t="s">
        <v>7</v>
      </c>
      <c r="L13" s="114">
        <f t="shared" ca="1" si="2"/>
        <v>44</v>
      </c>
      <c r="M13" s="101">
        <f t="shared" si="3"/>
        <v>1700</v>
      </c>
      <c r="N13" s="122">
        <f t="shared" si="4"/>
        <v>1870</v>
      </c>
      <c r="O13" s="121">
        <f t="shared" si="5"/>
        <v>150</v>
      </c>
      <c r="P13" s="121">
        <f t="shared" si="6"/>
        <v>204</v>
      </c>
      <c r="Q13" s="121">
        <f t="shared" si="0"/>
        <v>80</v>
      </c>
      <c r="R13" s="145">
        <f t="shared" si="7"/>
        <v>1907.5</v>
      </c>
      <c r="S13" s="125">
        <f t="shared" si="8"/>
        <v>80</v>
      </c>
      <c r="T13" s="125">
        <f t="shared" si="15"/>
        <v>45</v>
      </c>
      <c r="U13" s="101">
        <f t="shared" si="9"/>
        <v>2316.5</v>
      </c>
      <c r="V13" s="118">
        <f t="shared" si="10"/>
        <v>510</v>
      </c>
      <c r="W13" s="125">
        <f t="shared" si="11"/>
        <v>119.00000000000001</v>
      </c>
      <c r="X13" s="125">
        <f t="shared" si="12"/>
        <v>629</v>
      </c>
      <c r="Y13" s="125">
        <f t="shared" si="13"/>
        <v>3387.5</v>
      </c>
      <c r="Z13" s="131">
        <f t="shared" si="14"/>
        <v>965.09971509971513</v>
      </c>
    </row>
    <row r="14" spans="2:26" ht="12.6" thickBot="1" x14ac:dyDescent="0.3">
      <c r="B14" s="133" t="str">
        <f t="shared" ca="1" si="1"/>
        <v>QUECOEE4M41</v>
      </c>
      <c r="C14" s="141" t="s">
        <v>143</v>
      </c>
      <c r="D14" s="137" t="s">
        <v>158</v>
      </c>
      <c r="E14" s="27" t="s">
        <v>148</v>
      </c>
      <c r="F14" s="135">
        <v>30426</v>
      </c>
      <c r="G14" s="28" t="s">
        <v>4</v>
      </c>
      <c r="H14" s="29" t="s">
        <v>1</v>
      </c>
      <c r="I14" s="29" t="s">
        <v>9</v>
      </c>
      <c r="J14" s="29">
        <v>6</v>
      </c>
      <c r="K14" s="110" t="s">
        <v>3</v>
      </c>
      <c r="L14" s="114">
        <f t="shared" ca="1" si="2"/>
        <v>41</v>
      </c>
      <c r="M14" s="101">
        <f t="shared" si="3"/>
        <v>1400</v>
      </c>
      <c r="N14" s="122">
        <f t="shared" si="4"/>
        <v>1512</v>
      </c>
      <c r="O14" s="121">
        <f t="shared" si="5"/>
        <v>150</v>
      </c>
      <c r="P14" s="121">
        <f t="shared" si="6"/>
        <v>210</v>
      </c>
      <c r="Q14" s="121">
        <f t="shared" si="0"/>
        <v>100</v>
      </c>
      <c r="R14" s="145">
        <f t="shared" si="7"/>
        <v>1549.5</v>
      </c>
      <c r="S14" s="125">
        <f t="shared" si="8"/>
        <v>60</v>
      </c>
      <c r="T14" s="125">
        <f t="shared" si="15"/>
        <v>80</v>
      </c>
      <c r="U14" s="101">
        <f t="shared" si="9"/>
        <v>1999.5</v>
      </c>
      <c r="V14" s="118">
        <f t="shared" si="10"/>
        <v>420</v>
      </c>
      <c r="W14" s="125">
        <f t="shared" si="11"/>
        <v>98.000000000000014</v>
      </c>
      <c r="X14" s="125">
        <f t="shared" si="12"/>
        <v>518</v>
      </c>
      <c r="Y14" s="125">
        <f t="shared" si="13"/>
        <v>2881.5</v>
      </c>
      <c r="Z14" s="131">
        <f t="shared" si="14"/>
        <v>820.94017094017101</v>
      </c>
    </row>
    <row r="15" spans="2:26" ht="12.6" thickBot="1" x14ac:dyDescent="0.3">
      <c r="B15" s="133" t="str">
        <f t="shared" ca="1" si="1"/>
        <v>CASROSA3F36</v>
      </c>
      <c r="C15" s="142" t="s">
        <v>149</v>
      </c>
      <c r="D15" s="143" t="s">
        <v>159</v>
      </c>
      <c r="E15" s="144" t="s">
        <v>150</v>
      </c>
      <c r="F15" s="136">
        <v>32277</v>
      </c>
      <c r="G15" s="87" t="s">
        <v>8</v>
      </c>
      <c r="H15" s="88" t="s">
        <v>1</v>
      </c>
      <c r="I15" s="88" t="s">
        <v>2</v>
      </c>
      <c r="J15" s="88">
        <v>5</v>
      </c>
      <c r="K15" s="111" t="s">
        <v>7</v>
      </c>
      <c r="L15" s="115">
        <f t="shared" ca="1" si="2"/>
        <v>36</v>
      </c>
      <c r="M15" s="120">
        <f t="shared" si="3"/>
        <v>1100</v>
      </c>
      <c r="N15" s="122">
        <f t="shared" si="4"/>
        <v>1155</v>
      </c>
      <c r="O15" s="121">
        <f t="shared" si="5"/>
        <v>150</v>
      </c>
      <c r="P15" s="121">
        <f t="shared" si="6"/>
        <v>165</v>
      </c>
      <c r="Q15" s="121">
        <f t="shared" si="0"/>
        <v>35</v>
      </c>
      <c r="R15" s="145">
        <f t="shared" si="7"/>
        <v>1200</v>
      </c>
      <c r="S15" s="127">
        <f t="shared" si="8"/>
        <v>40</v>
      </c>
      <c r="T15" s="125">
        <f t="shared" si="15"/>
        <v>80</v>
      </c>
      <c r="U15" s="120">
        <f t="shared" si="9"/>
        <v>1520</v>
      </c>
      <c r="V15" s="147">
        <f t="shared" si="10"/>
        <v>330</v>
      </c>
      <c r="W15" s="127">
        <f t="shared" si="11"/>
        <v>77.000000000000014</v>
      </c>
      <c r="X15" s="127">
        <f t="shared" si="12"/>
        <v>407</v>
      </c>
      <c r="Y15" s="127">
        <f t="shared" si="13"/>
        <v>2213</v>
      </c>
      <c r="Z15" s="132">
        <f t="shared" si="14"/>
        <v>630.48433048433048</v>
      </c>
    </row>
    <row r="16" spans="2:26" ht="15.75" customHeight="1" thickBot="1" x14ac:dyDescent="0.25">
      <c r="B16" s="161" t="s">
        <v>17</v>
      </c>
      <c r="C16" s="162"/>
      <c r="D16" s="162"/>
      <c r="E16" s="162"/>
      <c r="F16" s="163"/>
      <c r="G16" s="163"/>
      <c r="H16" s="163"/>
      <c r="I16" s="163"/>
      <c r="J16" s="163"/>
      <c r="K16" s="163"/>
      <c r="L16" s="162"/>
      <c r="M16" s="117">
        <f t="shared" ref="M16:Z16" si="16">SUM(M6:M15)</f>
        <v>14300</v>
      </c>
      <c r="N16" s="124">
        <f t="shared" si="16"/>
        <v>15481</v>
      </c>
      <c r="O16" s="102">
        <f t="shared" si="16"/>
        <v>1400</v>
      </c>
      <c r="P16" s="124">
        <f t="shared" si="16"/>
        <v>1814</v>
      </c>
      <c r="Q16" s="102">
        <f t="shared" si="16"/>
        <v>685</v>
      </c>
      <c r="R16" s="102">
        <f t="shared" si="16"/>
        <v>15863.5</v>
      </c>
      <c r="S16" s="117">
        <f t="shared" si="16"/>
        <v>620</v>
      </c>
      <c r="T16" s="117">
        <f t="shared" si="16"/>
        <v>555</v>
      </c>
      <c r="U16" s="117">
        <f t="shared" si="16"/>
        <v>19537.5</v>
      </c>
      <c r="V16" s="117">
        <f t="shared" si="16"/>
        <v>4290</v>
      </c>
      <c r="W16" s="117">
        <f t="shared" si="16"/>
        <v>1001.0000000000001</v>
      </c>
      <c r="X16" s="117">
        <f t="shared" si="16"/>
        <v>5291</v>
      </c>
      <c r="Y16" s="117">
        <f t="shared" si="16"/>
        <v>28546.5</v>
      </c>
      <c r="Z16" s="129">
        <f t="shared" si="16"/>
        <v>8132.9059829059843</v>
      </c>
    </row>
    <row r="17" spans="2:22" ht="12" thickTop="1" x14ac:dyDescent="0.2"/>
    <row r="18" spans="2:22" ht="12" x14ac:dyDescent="0.25">
      <c r="B18" s="30"/>
      <c r="C18" s="31"/>
      <c r="D18" s="31"/>
      <c r="E18" s="31"/>
      <c r="F18" s="31"/>
      <c r="G18" s="31"/>
      <c r="H18" s="31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</row>
    <row r="19" spans="2:22" ht="12.6" thickBot="1" x14ac:dyDescent="0.3">
      <c r="B19" s="30"/>
      <c r="C19" s="31"/>
      <c r="D19" s="31"/>
      <c r="E19" s="31"/>
      <c r="F19" s="31"/>
      <c r="G19" s="31"/>
      <c r="H19" s="31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123"/>
      <c r="T19" s="32"/>
      <c r="U19" s="32"/>
      <c r="V19" s="32"/>
    </row>
    <row r="20" spans="2:22" ht="16.5" customHeight="1" thickBot="1" x14ac:dyDescent="0.25">
      <c r="C20" s="164" t="s">
        <v>39</v>
      </c>
      <c r="D20" s="165"/>
      <c r="E20" s="165"/>
      <c r="F20" s="165"/>
      <c r="G20" s="165"/>
      <c r="H20" s="166"/>
      <c r="M20" s="158" t="s">
        <v>33</v>
      </c>
      <c r="N20" s="159"/>
      <c r="O20" s="159"/>
      <c r="P20" s="159"/>
      <c r="Q20" s="160"/>
    </row>
    <row r="21" spans="2:22" ht="12.6" thickBot="1" x14ac:dyDescent="0.3">
      <c r="M21" s="33"/>
      <c r="N21" s="34"/>
      <c r="O21" s="34"/>
      <c r="P21" s="167" t="s">
        <v>34</v>
      </c>
      <c r="Q21" s="168"/>
      <c r="U21" s="24"/>
    </row>
    <row r="22" spans="2:22" ht="12.6" thickBot="1" x14ac:dyDescent="0.3">
      <c r="B22" s="52" t="s">
        <v>76</v>
      </c>
      <c r="M22" s="35" t="s">
        <v>13</v>
      </c>
      <c r="N22" s="36" t="s">
        <v>18</v>
      </c>
      <c r="O22" s="36" t="s">
        <v>63</v>
      </c>
      <c r="P22" s="36" t="s">
        <v>3</v>
      </c>
      <c r="Q22" s="37" t="s">
        <v>7</v>
      </c>
    </row>
    <row r="23" spans="2:22" ht="12" x14ac:dyDescent="0.25">
      <c r="B23" s="52" t="s">
        <v>121</v>
      </c>
      <c r="I23" s="31"/>
      <c r="J23" s="31"/>
      <c r="M23" s="38" t="s">
        <v>0</v>
      </c>
      <c r="N23" s="39">
        <v>1700</v>
      </c>
      <c r="O23" s="50">
        <v>0.1</v>
      </c>
      <c r="P23" s="78">
        <v>50</v>
      </c>
      <c r="Q23" s="79">
        <v>80</v>
      </c>
    </row>
    <row r="24" spans="2:22" ht="12" x14ac:dyDescent="0.25">
      <c r="B24" s="52" t="s">
        <v>122</v>
      </c>
      <c r="J24" s="31"/>
      <c r="M24" s="38" t="s">
        <v>4</v>
      </c>
      <c r="N24" s="39">
        <v>1400</v>
      </c>
      <c r="O24" s="50">
        <v>0.08</v>
      </c>
      <c r="P24" s="78">
        <v>60</v>
      </c>
      <c r="Q24" s="79">
        <v>90</v>
      </c>
      <c r="T24" s="31"/>
      <c r="U24" s="31"/>
      <c r="V24" s="31"/>
    </row>
    <row r="25" spans="2:22" ht="12.6" thickBot="1" x14ac:dyDescent="0.3">
      <c r="B25" s="52" t="s">
        <v>123</v>
      </c>
      <c r="J25" s="31"/>
      <c r="M25" s="40" t="s">
        <v>8</v>
      </c>
      <c r="N25" s="41">
        <v>1100</v>
      </c>
      <c r="O25" s="51">
        <v>0.05</v>
      </c>
      <c r="P25" s="80">
        <v>70</v>
      </c>
      <c r="Q25" s="81">
        <v>40</v>
      </c>
      <c r="T25" s="31"/>
      <c r="U25" s="31"/>
      <c r="V25" s="31"/>
    </row>
    <row r="26" spans="2:22" ht="12" x14ac:dyDescent="0.25">
      <c r="B26" s="52" t="s">
        <v>62</v>
      </c>
      <c r="J26" s="31"/>
      <c r="M26" s="42"/>
      <c r="N26" s="42"/>
      <c r="O26" s="42"/>
      <c r="P26" s="42"/>
      <c r="Q26" s="42"/>
    </row>
    <row r="27" spans="2:22" ht="12.6" thickBot="1" x14ac:dyDescent="0.3">
      <c r="B27" s="52" t="s">
        <v>119</v>
      </c>
      <c r="J27" s="31"/>
      <c r="M27" s="42"/>
      <c r="N27" s="42"/>
      <c r="O27" s="42"/>
      <c r="P27" s="42"/>
      <c r="Q27" s="42"/>
    </row>
    <row r="28" spans="2:22" ht="12.6" thickBot="1" x14ac:dyDescent="0.3">
      <c r="B28" s="52" t="s">
        <v>41</v>
      </c>
      <c r="J28" s="31"/>
      <c r="K28" s="31"/>
      <c r="L28" s="31"/>
      <c r="M28" s="158" t="s">
        <v>35</v>
      </c>
      <c r="N28" s="159"/>
      <c r="O28" s="159"/>
      <c r="P28" s="159"/>
      <c r="Q28" s="160"/>
    </row>
    <row r="29" spans="2:22" ht="12.6" thickBot="1" x14ac:dyDescent="0.3">
      <c r="B29" s="52" t="s">
        <v>124</v>
      </c>
      <c r="M29" s="34"/>
      <c r="N29" s="34"/>
      <c r="O29" s="34"/>
      <c r="P29" s="156" t="s">
        <v>36</v>
      </c>
      <c r="Q29" s="157"/>
    </row>
    <row r="30" spans="2:22" ht="12.6" thickBot="1" x14ac:dyDescent="0.3">
      <c r="B30" s="52" t="s">
        <v>120</v>
      </c>
      <c r="M30" s="35" t="s">
        <v>44</v>
      </c>
      <c r="N30" s="36" t="s">
        <v>19</v>
      </c>
      <c r="O30" s="36" t="s">
        <v>45</v>
      </c>
      <c r="P30" s="36" t="s">
        <v>23</v>
      </c>
      <c r="Q30" s="37" t="s">
        <v>24</v>
      </c>
    </row>
    <row r="31" spans="2:22" ht="12" x14ac:dyDescent="0.25">
      <c r="B31" s="52" t="s">
        <v>42</v>
      </c>
      <c r="M31" s="38" t="s">
        <v>1</v>
      </c>
      <c r="N31" s="39">
        <v>150</v>
      </c>
      <c r="O31" s="49">
        <v>0.15</v>
      </c>
      <c r="P31" s="78">
        <v>40</v>
      </c>
      <c r="Q31" s="79">
        <v>80</v>
      </c>
    </row>
    <row r="32" spans="2:22" ht="12" x14ac:dyDescent="0.25">
      <c r="B32" s="52" t="s">
        <v>110</v>
      </c>
      <c r="M32" s="38" t="s">
        <v>5</v>
      </c>
      <c r="N32" s="39">
        <v>150</v>
      </c>
      <c r="O32" s="49">
        <v>0.12</v>
      </c>
      <c r="P32" s="78">
        <v>45</v>
      </c>
      <c r="Q32" s="79">
        <v>70</v>
      </c>
    </row>
    <row r="33" spans="2:17" ht="12.6" thickBot="1" x14ac:dyDescent="0.3">
      <c r="B33" s="52" t="s">
        <v>125</v>
      </c>
      <c r="M33" s="40" t="s">
        <v>10</v>
      </c>
      <c r="N33" s="41">
        <v>100</v>
      </c>
      <c r="O33" s="47">
        <v>0.08</v>
      </c>
      <c r="P33" s="80">
        <v>30</v>
      </c>
      <c r="Q33" s="81">
        <v>50</v>
      </c>
    </row>
    <row r="34" spans="2:17" ht="12" x14ac:dyDescent="0.25">
      <c r="B34" s="52" t="s">
        <v>111</v>
      </c>
      <c r="M34" s="42"/>
      <c r="N34" s="42"/>
      <c r="O34" s="42"/>
      <c r="P34" s="42"/>
      <c r="Q34" s="42"/>
    </row>
    <row r="35" spans="2:17" ht="12.6" thickBot="1" x14ac:dyDescent="0.3">
      <c r="B35" s="52" t="s">
        <v>43</v>
      </c>
      <c r="M35" s="42"/>
      <c r="N35" s="42"/>
      <c r="O35" s="42"/>
      <c r="P35" s="42"/>
      <c r="Q35" s="42"/>
    </row>
    <row r="36" spans="2:17" ht="15.75" customHeight="1" thickBot="1" x14ac:dyDescent="0.3">
      <c r="B36" s="12" t="s">
        <v>48</v>
      </c>
      <c r="G36" s="44" t="s">
        <v>49</v>
      </c>
      <c r="H36" s="45">
        <v>3.51</v>
      </c>
      <c r="M36" s="158" t="s">
        <v>37</v>
      </c>
      <c r="N36" s="159"/>
      <c r="O36" s="159"/>
      <c r="P36" s="159"/>
      <c r="Q36" s="160"/>
    </row>
    <row r="37" spans="2:17" ht="15" thickBot="1" x14ac:dyDescent="0.35">
      <c r="G37"/>
      <c r="H37"/>
      <c r="I37"/>
      <c r="M37" s="34"/>
      <c r="N37" s="34"/>
      <c r="O37" s="34"/>
      <c r="P37" s="34"/>
      <c r="Q37" s="34"/>
    </row>
    <row r="38" spans="2:17" ht="15" thickBot="1" x14ac:dyDescent="0.35">
      <c r="G38"/>
      <c r="H38"/>
      <c r="I38"/>
      <c r="M38" s="46" t="s">
        <v>15</v>
      </c>
      <c r="N38" s="36" t="s">
        <v>2</v>
      </c>
      <c r="O38" s="36" t="s">
        <v>6</v>
      </c>
      <c r="P38" s="36" t="s">
        <v>1</v>
      </c>
      <c r="Q38" s="37" t="s">
        <v>9</v>
      </c>
    </row>
    <row r="39" spans="2:17" ht="14.4" x14ac:dyDescent="0.3">
      <c r="G39"/>
      <c r="H39"/>
      <c r="I39"/>
      <c r="M39" s="38" t="s">
        <v>29</v>
      </c>
      <c r="N39" s="39">
        <v>35</v>
      </c>
      <c r="O39" s="39">
        <v>60</v>
      </c>
      <c r="P39" s="39">
        <v>80</v>
      </c>
      <c r="Q39" s="43">
        <v>100</v>
      </c>
    </row>
    <row r="40" spans="2:17" ht="12.6" thickBot="1" x14ac:dyDescent="0.25">
      <c r="M40" s="40" t="s">
        <v>30</v>
      </c>
      <c r="N40" s="47">
        <v>0.3</v>
      </c>
      <c r="O40" s="47">
        <v>0.3</v>
      </c>
      <c r="P40" s="47">
        <v>0.25</v>
      </c>
      <c r="Q40" s="48">
        <v>0.25</v>
      </c>
    </row>
    <row r="41" spans="2:17" x14ac:dyDescent="0.2">
      <c r="M41" s="42"/>
      <c r="N41" s="42"/>
      <c r="O41" s="42"/>
      <c r="P41" s="42"/>
      <c r="Q41" s="42"/>
    </row>
    <row r="42" spans="2:17" x14ac:dyDescent="0.2">
      <c r="M42" s="42"/>
      <c r="N42" s="42"/>
      <c r="O42" s="42"/>
      <c r="P42" s="42"/>
      <c r="Q42" s="42"/>
    </row>
  </sheetData>
  <autoFilter ref="B5:Z16" xr:uid="{64FE98F2-BC0C-4C05-8193-2EF3CFBDFA16}">
    <filterColumn colId="1" showButton="0"/>
    <filterColumn colId="2" showButton="0"/>
  </autoFilter>
  <mergeCells count="9">
    <mergeCell ref="H3:P3"/>
    <mergeCell ref="P29:Q29"/>
    <mergeCell ref="M36:Q36"/>
    <mergeCell ref="B16:L16"/>
    <mergeCell ref="C20:H20"/>
    <mergeCell ref="P21:Q21"/>
    <mergeCell ref="M20:Q20"/>
    <mergeCell ref="M28:Q28"/>
    <mergeCell ref="C5:E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B1:I34"/>
  <sheetViews>
    <sheetView showGridLines="0" zoomScale="90" zoomScaleNormal="90" workbookViewId="0">
      <selection activeCell="H28" sqref="H28"/>
    </sheetView>
  </sheetViews>
  <sheetFormatPr baseColWidth="10" defaultColWidth="11.44140625" defaultRowHeight="11.4" x14ac:dyDescent="0.2"/>
  <cols>
    <col min="1" max="1" width="7.33203125" style="2" customWidth="1"/>
    <col min="2" max="2" width="2" style="2" customWidth="1"/>
    <col min="3" max="3" width="15.109375" style="2" customWidth="1"/>
    <col min="4" max="4" width="13.5546875" style="2" customWidth="1"/>
    <col min="5" max="5" width="6.109375" style="2" customWidth="1"/>
    <col min="6" max="6" width="5.6640625" style="2" customWidth="1"/>
    <col min="7" max="7" width="12.6640625" style="2" customWidth="1"/>
    <col min="8" max="8" width="13.5546875" style="2" customWidth="1"/>
    <col min="9" max="9" width="1.6640625" style="2" customWidth="1"/>
    <col min="10" max="16384" width="11.44140625" style="2"/>
  </cols>
  <sheetData>
    <row r="1" spans="2:9" ht="12" thickBot="1" x14ac:dyDescent="0.25"/>
    <row r="2" spans="2:9" ht="12" thickTop="1" x14ac:dyDescent="0.2">
      <c r="B2" s="3"/>
      <c r="C2" s="4"/>
      <c r="D2" s="4"/>
      <c r="E2" s="4"/>
      <c r="F2" s="4"/>
      <c r="G2" s="4"/>
      <c r="H2" s="4"/>
      <c r="I2" s="5"/>
    </row>
    <row r="3" spans="2:9" x14ac:dyDescent="0.2">
      <c r="B3" s="6"/>
      <c r="I3" s="7"/>
    </row>
    <row r="4" spans="2:9" x14ac:dyDescent="0.2">
      <c r="B4" s="6"/>
      <c r="I4" s="7"/>
    </row>
    <row r="5" spans="2:9" x14ac:dyDescent="0.2">
      <c r="B5" s="6"/>
      <c r="I5" s="7"/>
    </row>
    <row r="6" spans="2:9" x14ac:dyDescent="0.2">
      <c r="B6" s="6"/>
      <c r="I6" s="7"/>
    </row>
    <row r="7" spans="2:9" ht="15" x14ac:dyDescent="0.25">
      <c r="B7" s="8"/>
      <c r="C7" s="174" t="s">
        <v>133</v>
      </c>
      <c r="D7" s="175"/>
      <c r="E7" s="175"/>
      <c r="F7" s="175"/>
      <c r="G7" s="175"/>
      <c r="H7" s="176"/>
      <c r="I7" s="7"/>
    </row>
    <row r="8" spans="2:9" x14ac:dyDescent="0.2">
      <c r="B8" s="6"/>
      <c r="I8" s="7"/>
    </row>
    <row r="9" spans="2:9" ht="13.8" x14ac:dyDescent="0.25">
      <c r="B9" s="6"/>
      <c r="C9" s="9"/>
      <c r="D9" s="177" t="s">
        <v>51</v>
      </c>
      <c r="E9" s="178"/>
      <c r="F9" s="178"/>
      <c r="G9" s="179"/>
      <c r="I9" s="7"/>
    </row>
    <row r="10" spans="2:9" x14ac:dyDescent="0.2">
      <c r="B10" s="6"/>
      <c r="I10" s="7"/>
    </row>
    <row r="11" spans="2:9" ht="14.25" customHeight="1" x14ac:dyDescent="0.3">
      <c r="B11" s="6"/>
      <c r="C11" s="185" t="s">
        <v>75</v>
      </c>
      <c r="D11" s="185"/>
      <c r="E11" s="180" t="str">
        <f ca="1">PLANILLA!B6</f>
        <v>ROSRZCS4M44</v>
      </c>
      <c r="F11" s="180"/>
      <c r="G11" s="180"/>
      <c r="I11" s="7"/>
    </row>
    <row r="12" spans="2:9" ht="12" customHeight="1" x14ac:dyDescent="0.25">
      <c r="B12" s="6"/>
      <c r="C12" s="24"/>
      <c r="D12" s="1"/>
      <c r="I12" s="7"/>
    </row>
    <row r="13" spans="2:9" ht="12" x14ac:dyDescent="0.25">
      <c r="B13" s="6"/>
      <c r="C13" s="183" t="s">
        <v>53</v>
      </c>
      <c r="D13" s="184"/>
      <c r="I13" s="7"/>
    </row>
    <row r="14" spans="2:9" ht="12" x14ac:dyDescent="0.25">
      <c r="B14" s="6"/>
      <c r="C14" s="11" t="s">
        <v>52</v>
      </c>
      <c r="D14" s="182" t="str">
        <f ca="1">VLOOKUP(E11,PLANILLA!$B$5:$Z$16,4,FALSE)&amp;", "&amp;VLOOKUP(E11,PLANILLA!$B$5:$Z$16,2,FALSE)&amp;" "&amp;VLOOKUP(E11,PLANILLA!$B$5:$Z$16,3,FALSE)</f>
        <v>Carlos, Rojas Ruiz</v>
      </c>
      <c r="E14" s="182"/>
      <c r="F14" s="182"/>
      <c r="G14" s="12"/>
      <c r="I14" s="7"/>
    </row>
    <row r="15" spans="2:9" ht="12" x14ac:dyDescent="0.25">
      <c r="B15" s="6"/>
      <c r="C15" s="11" t="s">
        <v>54</v>
      </c>
      <c r="D15" s="148">
        <f ca="1">VLOOKUP(E11,PLANILLA!$B$5:$Z$16,11,FALSE)</f>
        <v>44</v>
      </c>
      <c r="F15" s="181" t="s">
        <v>56</v>
      </c>
      <c r="G15" s="181"/>
      <c r="H15" s="10" t="str">
        <f ca="1">VLOOKUP(E11,PLANILLA!$B$5:$Z$16,6,FALSE)</f>
        <v>Permanente</v>
      </c>
      <c r="I15" s="7"/>
    </row>
    <row r="16" spans="2:9" ht="12" x14ac:dyDescent="0.25">
      <c r="B16" s="6"/>
      <c r="C16" s="11" t="s">
        <v>55</v>
      </c>
      <c r="D16" s="10" t="str">
        <f ca="1">VLOOKUP(E11,PLANILLA!$B$5:$Z$16,7,FALSE)</f>
        <v>C</v>
      </c>
      <c r="F16" s="181" t="s">
        <v>57</v>
      </c>
      <c r="G16" s="181"/>
      <c r="H16" s="10" t="str">
        <f ca="1">VLOOKUP(E11,PLANILLA!$B$5:$Z$16,7,FALSE)</f>
        <v>C</v>
      </c>
      <c r="I16" s="7"/>
    </row>
    <row r="17" spans="2:9" ht="12" x14ac:dyDescent="0.25">
      <c r="B17" s="6"/>
      <c r="C17" s="11" t="s">
        <v>50</v>
      </c>
      <c r="D17" s="152">
        <f ca="1">VLOOKUP(E11,PLANILLA!$B$5:$Z$16,12,FALSE)</f>
        <v>1700</v>
      </c>
      <c r="F17" s="181" t="s">
        <v>60</v>
      </c>
      <c r="G17" s="181"/>
      <c r="H17" s="10">
        <f ca="1">VLOOKUP(E11,PLANILLA!$B$5:$Z$16,9,FALSE)</f>
        <v>15</v>
      </c>
      <c r="I17" s="7"/>
    </row>
    <row r="18" spans="2:9" x14ac:dyDescent="0.2">
      <c r="B18" s="6"/>
      <c r="I18" s="7"/>
    </row>
    <row r="19" spans="2:9" ht="12" x14ac:dyDescent="0.25">
      <c r="B19" s="6"/>
      <c r="C19" s="183" t="s">
        <v>58</v>
      </c>
      <c r="D19" s="184"/>
      <c r="G19" s="183" t="s">
        <v>59</v>
      </c>
      <c r="H19" s="184"/>
      <c r="I19" s="7"/>
    </row>
    <row r="20" spans="2:9" ht="12" x14ac:dyDescent="0.25">
      <c r="B20" s="6"/>
      <c r="C20" s="11" t="s">
        <v>64</v>
      </c>
      <c r="D20" s="104">
        <f ca="1">VLOOKUP(E11,PLANILLA!$B$5:$Z$16,13,FALSE)</f>
        <v>1870</v>
      </c>
      <c r="E20" s="12"/>
      <c r="G20" s="15"/>
      <c r="I20" s="7"/>
    </row>
    <row r="21" spans="2:9" ht="12" x14ac:dyDescent="0.25">
      <c r="B21" s="6"/>
      <c r="C21" s="11" t="s">
        <v>65</v>
      </c>
      <c r="D21" s="104">
        <f ca="1">VLOOKUP(E11,PLANILLA!$B$5:$Z$16,14,FALSE)</f>
        <v>150</v>
      </c>
      <c r="E21" s="12"/>
      <c r="G21" s="15"/>
      <c r="H21" s="106"/>
      <c r="I21" s="7"/>
    </row>
    <row r="22" spans="2:9" ht="12" x14ac:dyDescent="0.25">
      <c r="B22" s="6"/>
      <c r="C22" s="11" t="s">
        <v>66</v>
      </c>
      <c r="D22" s="104">
        <f ca="1">VLOOKUP(E11,PLANILLA!$B$5:$Z$16,16,FALSE)</f>
        <v>35</v>
      </c>
      <c r="E22" s="12"/>
      <c r="G22" s="16" t="s">
        <v>109</v>
      </c>
      <c r="H22" s="107">
        <f ca="1">VLOOKUP(E11,PLANILLA!$B$5:$Z$16,21,FALSE)</f>
        <v>510</v>
      </c>
      <c r="I22" s="7"/>
    </row>
    <row r="23" spans="2:9" ht="12" x14ac:dyDescent="0.25">
      <c r="B23" s="6"/>
      <c r="C23" s="11" t="s">
        <v>67</v>
      </c>
      <c r="D23" s="104">
        <f ca="1">VLOOKUP(E11,PLANILLA!$B$5:$Z$16,15,FALSE)</f>
        <v>255</v>
      </c>
      <c r="E23" s="12"/>
      <c r="G23" s="16" t="s">
        <v>72</v>
      </c>
      <c r="H23" s="107">
        <f ca="1">VLOOKUP(E11,PLANILLA!$B$5:$Z$16,22,FALSE)</f>
        <v>119.00000000000001</v>
      </c>
      <c r="I23" s="7"/>
    </row>
    <row r="24" spans="2:9" ht="12" x14ac:dyDescent="0.25">
      <c r="B24" s="6"/>
      <c r="C24" s="11" t="s">
        <v>68</v>
      </c>
      <c r="D24" s="104">
        <f ca="1">VLOOKUP(E11,PLANILLA!$B$5:$Z$16,17,FALSE)</f>
        <v>1915</v>
      </c>
      <c r="E24" s="12"/>
      <c r="G24" s="15"/>
      <c r="H24" s="106"/>
      <c r="I24" s="7"/>
    </row>
    <row r="25" spans="2:9" ht="12" x14ac:dyDescent="0.25">
      <c r="B25" s="6"/>
      <c r="C25" s="11" t="s">
        <v>69</v>
      </c>
      <c r="D25" s="104">
        <f ca="1">VLOOKUP(E11,PLANILLA!$B$5:$Z$16,18,FALSE)</f>
        <v>50</v>
      </c>
      <c r="E25" s="12"/>
      <c r="G25" s="15"/>
      <c r="H25" s="106"/>
      <c r="I25" s="7"/>
    </row>
    <row r="26" spans="2:9" ht="12" x14ac:dyDescent="0.25">
      <c r="B26" s="6"/>
      <c r="C26" s="11" t="s">
        <v>70</v>
      </c>
      <c r="D26" s="104">
        <f ca="1">VLOOKUP(E11,PLANILLA!$B$5:$Z$16,19,FALSE)</f>
        <v>40</v>
      </c>
      <c r="E26" s="12"/>
      <c r="G26" s="15"/>
      <c r="H26" s="106"/>
      <c r="I26" s="7"/>
    </row>
    <row r="27" spans="2:9" ht="12" x14ac:dyDescent="0.25">
      <c r="B27" s="6"/>
      <c r="C27" s="16" t="s">
        <v>71</v>
      </c>
      <c r="D27" s="105">
        <f ca="1">SUM(D20:D26)</f>
        <v>4315</v>
      </c>
      <c r="G27" s="16" t="s">
        <v>71</v>
      </c>
      <c r="H27" s="108">
        <f ca="1">SUM(H22:H26)</f>
        <v>629</v>
      </c>
      <c r="I27" s="7"/>
    </row>
    <row r="28" spans="2:9" x14ac:dyDescent="0.2">
      <c r="B28" s="6"/>
      <c r="I28" s="7"/>
    </row>
    <row r="29" spans="2:9" x14ac:dyDescent="0.2">
      <c r="B29" s="6"/>
      <c r="I29" s="7"/>
    </row>
    <row r="30" spans="2:9" ht="12" x14ac:dyDescent="0.25">
      <c r="B30" s="6"/>
      <c r="C30" s="25" t="s">
        <v>73</v>
      </c>
      <c r="D30" s="172">
        <f ca="1">D27</f>
        <v>4315</v>
      </c>
      <c r="E30" s="172"/>
      <c r="I30" s="7"/>
    </row>
    <row r="31" spans="2:9" ht="12" x14ac:dyDescent="0.25">
      <c r="B31" s="6"/>
      <c r="C31" s="25" t="s">
        <v>74</v>
      </c>
      <c r="D31" s="173">
        <f ca="1">VLOOKUP(E11,PLANILLA!$B$5:$Z$16,25,FALSE)</f>
        <v>958.97435897435901</v>
      </c>
      <c r="E31" s="173"/>
      <c r="I31" s="7"/>
    </row>
    <row r="32" spans="2:9" ht="12" x14ac:dyDescent="0.25">
      <c r="B32" s="6"/>
      <c r="C32" s="10"/>
      <c r="I32" s="7"/>
    </row>
    <row r="33" spans="2:9" ht="12" thickBot="1" x14ac:dyDescent="0.25">
      <c r="B33" s="17"/>
      <c r="C33" s="18"/>
      <c r="D33" s="18"/>
      <c r="E33" s="18"/>
      <c r="F33" s="18"/>
      <c r="G33" s="18"/>
      <c r="H33" s="18"/>
      <c r="I33" s="19"/>
    </row>
    <row r="34" spans="2:9" ht="12" thickTop="1" x14ac:dyDescent="0.2"/>
  </sheetData>
  <mergeCells count="13">
    <mergeCell ref="D30:E30"/>
    <mergeCell ref="D31:E31"/>
    <mergeCell ref="C7:H7"/>
    <mergeCell ref="D9:G9"/>
    <mergeCell ref="E11:G11"/>
    <mergeCell ref="F15:G15"/>
    <mergeCell ref="D14:F14"/>
    <mergeCell ref="C19:D19"/>
    <mergeCell ref="F17:G17"/>
    <mergeCell ref="G19:H19"/>
    <mergeCell ref="C11:D11"/>
    <mergeCell ref="C13:D13"/>
    <mergeCell ref="F16:G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</sheetPr>
  <dimension ref="B1:I38"/>
  <sheetViews>
    <sheetView showGridLines="0" tabSelected="1" zoomScale="85" zoomScaleNormal="85" workbookViewId="0">
      <selection activeCell="H35" sqref="H35"/>
    </sheetView>
  </sheetViews>
  <sheetFormatPr baseColWidth="10" defaultColWidth="11.44140625" defaultRowHeight="11.4" x14ac:dyDescent="0.2"/>
  <cols>
    <col min="1" max="1" width="6" style="2" customWidth="1"/>
    <col min="2" max="2" width="3.6640625" style="2" customWidth="1"/>
    <col min="3" max="3" width="25.6640625" style="2" customWidth="1"/>
    <col min="4" max="4" width="8.44140625" style="2" customWidth="1"/>
    <col min="5" max="5" width="10.6640625" style="2" customWidth="1"/>
    <col min="6" max="6" width="8.33203125" style="2" customWidth="1"/>
    <col min="7" max="7" width="9.5546875" style="2" customWidth="1"/>
    <col min="8" max="8" width="12.109375" style="2" bestFit="1" customWidth="1"/>
    <col min="9" max="9" width="2.5546875" style="2" customWidth="1"/>
    <col min="10" max="16384" width="11.44140625" style="2"/>
  </cols>
  <sheetData>
    <row r="1" spans="2:9" ht="12" thickBot="1" x14ac:dyDescent="0.25"/>
    <row r="2" spans="2:9" ht="12" thickTop="1" x14ac:dyDescent="0.2">
      <c r="B2" s="3"/>
      <c r="C2" s="4"/>
      <c r="D2" s="4"/>
      <c r="E2" s="4"/>
      <c r="F2" s="4"/>
      <c r="G2" s="4"/>
      <c r="H2" s="4"/>
      <c r="I2" s="5"/>
    </row>
    <row r="3" spans="2:9" x14ac:dyDescent="0.2">
      <c r="B3" s="6"/>
      <c r="I3" s="7"/>
    </row>
    <row r="4" spans="2:9" x14ac:dyDescent="0.2">
      <c r="B4" s="6"/>
      <c r="I4" s="7"/>
    </row>
    <row r="5" spans="2:9" x14ac:dyDescent="0.2">
      <c r="B5" s="6"/>
      <c r="I5" s="7"/>
    </row>
    <row r="6" spans="2:9" x14ac:dyDescent="0.2">
      <c r="B6" s="6"/>
      <c r="I6" s="7"/>
    </row>
    <row r="7" spans="2:9" x14ac:dyDescent="0.2">
      <c r="B7" s="6"/>
      <c r="I7" s="7"/>
    </row>
    <row r="8" spans="2:9" ht="15" x14ac:dyDescent="0.25">
      <c r="B8" s="8"/>
      <c r="C8" s="174" t="s">
        <v>132</v>
      </c>
      <c r="D8" s="175"/>
      <c r="E8" s="175"/>
      <c r="F8" s="175"/>
      <c r="G8" s="175"/>
      <c r="H8" s="176"/>
      <c r="I8" s="7"/>
    </row>
    <row r="9" spans="2:9" x14ac:dyDescent="0.2">
      <c r="B9" s="6"/>
      <c r="I9" s="7"/>
    </row>
    <row r="10" spans="2:9" ht="13.8" x14ac:dyDescent="0.25">
      <c r="B10" s="6"/>
      <c r="C10" s="9"/>
      <c r="D10" s="177" t="s">
        <v>77</v>
      </c>
      <c r="E10" s="178"/>
      <c r="F10" s="178"/>
      <c r="G10" s="179"/>
      <c r="I10" s="7"/>
    </row>
    <row r="11" spans="2:9" ht="12" x14ac:dyDescent="0.25">
      <c r="B11" s="6"/>
      <c r="C11" s="11"/>
      <c r="D11" s="11"/>
      <c r="E11" s="11"/>
      <c r="F11" s="11"/>
      <c r="G11" s="11"/>
      <c r="H11" s="10"/>
      <c r="I11" s="7"/>
    </row>
    <row r="12" spans="2:9" ht="12" x14ac:dyDescent="0.25">
      <c r="B12" s="6"/>
      <c r="C12" s="183" t="s">
        <v>84</v>
      </c>
      <c r="D12" s="184"/>
      <c r="I12" s="7"/>
    </row>
    <row r="13" spans="2:9" ht="12" x14ac:dyDescent="0.25">
      <c r="B13" s="6"/>
      <c r="C13" s="11" t="s">
        <v>78</v>
      </c>
      <c r="D13" s="12">
        <f>COUNTA(PLANILLA!C6:C15)</f>
        <v>10</v>
      </c>
      <c r="E13" s="13"/>
      <c r="F13" s="12"/>
      <c r="G13" s="12"/>
      <c r="I13" s="7"/>
    </row>
    <row r="14" spans="2:9" ht="12" x14ac:dyDescent="0.25">
      <c r="B14" s="6"/>
      <c r="C14" s="11" t="s">
        <v>82</v>
      </c>
      <c r="D14" s="12">
        <f>COUNTIF(PLANILLA!G6:G15,"Permanente")</f>
        <v>4</v>
      </c>
      <c r="E14" s="13"/>
      <c r="F14" s="12"/>
      <c r="G14" s="12"/>
      <c r="I14" s="7"/>
    </row>
    <row r="15" spans="2:9" ht="12" x14ac:dyDescent="0.25">
      <c r="B15" s="6"/>
      <c r="C15" s="53" t="s">
        <v>81</v>
      </c>
      <c r="D15" s="149">
        <f>COUNTIF(PLANILLA!H6:H15,"s")</f>
        <v>1</v>
      </c>
      <c r="E15" s="13"/>
      <c r="F15" s="12"/>
      <c r="G15" s="12"/>
      <c r="I15" s="7"/>
    </row>
    <row r="16" spans="2:9" ht="12" x14ac:dyDescent="0.25">
      <c r="B16" s="6"/>
      <c r="C16" s="53" t="s">
        <v>86</v>
      </c>
      <c r="D16" s="150">
        <f ca="1">AVERAGE(PLANILLA!L6:L15)</f>
        <v>42.7</v>
      </c>
      <c r="E16" s="13"/>
      <c r="F16" s="12"/>
      <c r="G16" s="12"/>
      <c r="I16" s="7"/>
    </row>
    <row r="17" spans="2:9" ht="12" x14ac:dyDescent="0.25">
      <c r="B17" s="6"/>
      <c r="C17" s="53" t="s">
        <v>79</v>
      </c>
      <c r="D17" s="150">
        <f ca="1">MAX(PLANILLA!L6:L15)</f>
        <v>49</v>
      </c>
      <c r="E17" s="13"/>
      <c r="F17" s="11"/>
      <c r="G17" s="11"/>
      <c r="H17" s="10"/>
      <c r="I17" s="7"/>
    </row>
    <row r="18" spans="2:9" ht="12" x14ac:dyDescent="0.25">
      <c r="B18" s="6"/>
      <c r="C18" s="53" t="s">
        <v>80</v>
      </c>
      <c r="D18" s="150">
        <f ca="1">MIN(PLANILLA!L6:L15)</f>
        <v>36</v>
      </c>
      <c r="E18" s="13"/>
      <c r="F18" s="11"/>
      <c r="G18" s="11"/>
      <c r="H18" s="10"/>
      <c r="I18" s="7"/>
    </row>
    <row r="19" spans="2:9" ht="12" x14ac:dyDescent="0.25">
      <c r="B19" s="6"/>
      <c r="C19" s="181" t="s">
        <v>83</v>
      </c>
      <c r="D19" s="181"/>
      <c r="E19" s="13">
        <f>COUNTIF(PLANILLA!J6:J15,"&gt;10")</f>
        <v>5</v>
      </c>
      <c r="F19" s="11"/>
      <c r="G19" s="11"/>
      <c r="H19" s="10"/>
      <c r="I19" s="7"/>
    </row>
    <row r="20" spans="2:9" ht="12" x14ac:dyDescent="0.25">
      <c r="B20" s="6"/>
      <c r="C20" s="56"/>
      <c r="D20" s="56"/>
      <c r="F20" s="11"/>
      <c r="G20" s="11"/>
      <c r="H20" s="10"/>
      <c r="I20" s="7"/>
    </row>
    <row r="21" spans="2:9" ht="12" x14ac:dyDescent="0.25">
      <c r="B21" s="6"/>
      <c r="C21" s="183" t="s">
        <v>85</v>
      </c>
      <c r="D21" s="186"/>
      <c r="E21" s="184"/>
      <c r="F21" s="55"/>
      <c r="G21" s="53"/>
      <c r="H21" s="10"/>
      <c r="I21" s="7"/>
    </row>
    <row r="22" spans="2:9" ht="12" x14ac:dyDescent="0.25">
      <c r="B22" s="6"/>
      <c r="C22" s="181" t="s">
        <v>126</v>
      </c>
      <c r="D22" s="181"/>
      <c r="E22" s="181"/>
      <c r="F22" s="14">
        <f>COUNTIFS(PLANILLA!H6:H15,"C",PLANILLA!I6:I15,"B")</f>
        <v>1</v>
      </c>
      <c r="G22" s="25"/>
      <c r="H22" s="10"/>
      <c r="I22" s="7"/>
    </row>
    <row r="23" spans="2:9" ht="12" x14ac:dyDescent="0.25">
      <c r="B23" s="6"/>
      <c r="C23" s="181" t="s">
        <v>127</v>
      </c>
      <c r="D23" s="181"/>
      <c r="E23" s="181"/>
      <c r="F23" s="14">
        <f>COUNTIFS(PLANILLA!K6:K15,"M",PLANILLA!I6:I15,"A")</f>
        <v>1</v>
      </c>
      <c r="G23" s="25"/>
      <c r="H23" s="10"/>
      <c r="I23" s="7"/>
    </row>
    <row r="24" spans="2:9" ht="12" x14ac:dyDescent="0.25">
      <c r="B24" s="6"/>
      <c r="C24" s="181" t="s">
        <v>128</v>
      </c>
      <c r="D24" s="181"/>
      <c r="E24" s="181"/>
      <c r="F24" s="14">
        <f>COUNTIFS(PLANILLA!H6:H15,"V",PLANILLA!I6:I15,"C")</f>
        <v>1</v>
      </c>
      <c r="G24" s="25"/>
      <c r="H24" s="10"/>
      <c r="I24" s="7"/>
    </row>
    <row r="25" spans="2:9" ht="12" x14ac:dyDescent="0.25">
      <c r="B25" s="6"/>
      <c r="C25" s="181" t="s">
        <v>129</v>
      </c>
      <c r="D25" s="181"/>
      <c r="E25" s="181"/>
      <c r="F25" s="181"/>
      <c r="G25" s="25">
        <f>COUNTIFS(PLANILLA!H6:H15,"C",PLANILLA!J6:J15,"&lt;12")</f>
        <v>3</v>
      </c>
      <c r="H25" s="10"/>
      <c r="I25" s="7"/>
    </row>
    <row r="26" spans="2:9" ht="12" x14ac:dyDescent="0.25">
      <c r="B26" s="6"/>
      <c r="C26" s="56"/>
      <c r="D26" s="56"/>
      <c r="F26" s="11"/>
      <c r="G26" s="11"/>
      <c r="H26" s="10"/>
      <c r="I26" s="7"/>
    </row>
    <row r="27" spans="2:9" ht="12" x14ac:dyDescent="0.25">
      <c r="B27" s="6"/>
      <c r="C27" s="183" t="s">
        <v>87</v>
      </c>
      <c r="D27" s="186"/>
      <c r="E27" s="184"/>
      <c r="G27" s="15"/>
      <c r="I27" s="7"/>
    </row>
    <row r="28" spans="2:9" ht="12" x14ac:dyDescent="0.25">
      <c r="B28" s="6"/>
      <c r="C28" s="187" t="s">
        <v>88</v>
      </c>
      <c r="D28" s="187"/>
      <c r="E28" s="151">
        <f>PLANILLA!Y16</f>
        <v>28546.5</v>
      </c>
      <c r="G28" s="16"/>
      <c r="H28" s="103"/>
      <c r="I28" s="7"/>
    </row>
    <row r="29" spans="2:9" ht="12" x14ac:dyDescent="0.25">
      <c r="B29" s="6"/>
      <c r="C29" s="181" t="s">
        <v>93</v>
      </c>
      <c r="D29" s="181"/>
      <c r="E29" s="2">
        <f>COUNTIF(PLANILLA!H6:H15,"C")</f>
        <v>5</v>
      </c>
      <c r="G29" s="16"/>
      <c r="H29" s="103"/>
      <c r="I29" s="7"/>
    </row>
    <row r="30" spans="2:9" ht="12" x14ac:dyDescent="0.25">
      <c r="B30" s="6"/>
      <c r="C30" s="181" t="s">
        <v>90</v>
      </c>
      <c r="D30" s="181"/>
      <c r="E30" s="2">
        <f>COUNTIF(PLANILLA!K6:K15,"F")</f>
        <v>5</v>
      </c>
      <c r="G30" s="16"/>
      <c r="H30" s="103"/>
      <c r="I30" s="7"/>
    </row>
    <row r="31" spans="2:9" ht="12" x14ac:dyDescent="0.25">
      <c r="B31" s="6"/>
      <c r="C31" s="181" t="s">
        <v>89</v>
      </c>
      <c r="D31" s="181"/>
      <c r="E31" s="2">
        <f>COUNTIF(PLANILLA!K6:K15,"M")</f>
        <v>5</v>
      </c>
      <c r="G31" s="15"/>
      <c r="H31" s="103"/>
      <c r="I31" s="7"/>
    </row>
    <row r="32" spans="2:9" ht="12" x14ac:dyDescent="0.25">
      <c r="B32" s="6"/>
      <c r="C32" s="181" t="s">
        <v>91</v>
      </c>
      <c r="D32" s="181"/>
      <c r="E32" s="12">
        <f>COUNTIF(PLANILLA!H6:H15,"V")</f>
        <v>3</v>
      </c>
      <c r="G32" s="15"/>
      <c r="H32" s="103"/>
      <c r="I32" s="7"/>
    </row>
    <row r="33" spans="2:9" ht="12" x14ac:dyDescent="0.25">
      <c r="B33" s="6"/>
      <c r="C33" s="181" t="s">
        <v>92</v>
      </c>
      <c r="D33" s="181"/>
      <c r="E33" s="181"/>
      <c r="F33" s="181"/>
      <c r="G33" s="12">
        <f>COUNTIFS(PLANILLA!K6:K15,"M",PLANILLA!G6:G15,"Permanente")</f>
        <v>2</v>
      </c>
      <c r="H33" s="103"/>
      <c r="I33" s="7"/>
    </row>
    <row r="34" spans="2:9" ht="12" x14ac:dyDescent="0.25">
      <c r="B34" s="6"/>
      <c r="C34" s="181" t="s">
        <v>130</v>
      </c>
      <c r="D34" s="181"/>
      <c r="E34" s="181"/>
      <c r="F34" s="181"/>
      <c r="G34" s="181"/>
      <c r="H34" s="2">
        <f>COUNTIFS(PLANILLA!H6:H15,"v",PLANILLA!J6:J15,"&lt;8")</f>
        <v>0</v>
      </c>
      <c r="I34" s="7"/>
    </row>
    <row r="35" spans="2:9" ht="12" x14ac:dyDescent="0.25">
      <c r="B35" s="6"/>
      <c r="C35" s="181" t="s">
        <v>131</v>
      </c>
      <c r="D35" s="181"/>
      <c r="E35" s="181"/>
      <c r="F35" s="181"/>
      <c r="G35" s="181"/>
      <c r="H35" s="2">
        <f>COUNTIFS(PLANILLA!K6:K15,"M",PLANILLA!J6:J15,"&gt;3")</f>
        <v>5</v>
      </c>
      <c r="I35" s="7"/>
    </row>
    <row r="36" spans="2:9" x14ac:dyDescent="0.2">
      <c r="B36" s="6"/>
      <c r="I36" s="7"/>
    </row>
    <row r="37" spans="2:9" ht="12" thickBot="1" x14ac:dyDescent="0.25">
      <c r="B37" s="17"/>
      <c r="C37" s="18"/>
      <c r="D37" s="18"/>
      <c r="E37" s="18"/>
      <c r="F37" s="18"/>
      <c r="G37" s="18"/>
      <c r="H37" s="18"/>
      <c r="I37" s="19"/>
    </row>
    <row r="38" spans="2:9" ht="12" thickTop="1" x14ac:dyDescent="0.2"/>
  </sheetData>
  <mergeCells count="18">
    <mergeCell ref="C21:E21"/>
    <mergeCell ref="C24:E24"/>
    <mergeCell ref="C8:H8"/>
    <mergeCell ref="D10:G10"/>
    <mergeCell ref="C12:D12"/>
    <mergeCell ref="C19:D19"/>
    <mergeCell ref="C35:G35"/>
    <mergeCell ref="C34:G34"/>
    <mergeCell ref="C31:D31"/>
    <mergeCell ref="C32:D32"/>
    <mergeCell ref="C33:F33"/>
    <mergeCell ref="C30:D30"/>
    <mergeCell ref="C25:F25"/>
    <mergeCell ref="C27:E27"/>
    <mergeCell ref="C22:E22"/>
    <mergeCell ref="C23:E23"/>
    <mergeCell ref="C28:D28"/>
    <mergeCell ref="C29:D29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</sheetPr>
  <dimension ref="A1:M21"/>
  <sheetViews>
    <sheetView zoomScale="90" zoomScaleNormal="90" workbookViewId="0">
      <selection activeCell="E5" sqref="E5"/>
    </sheetView>
  </sheetViews>
  <sheetFormatPr baseColWidth="10" defaultColWidth="11.44140625" defaultRowHeight="14.4" x14ac:dyDescent="0.3"/>
  <cols>
    <col min="1" max="1" width="8" customWidth="1"/>
    <col min="2" max="5" width="10.6640625" customWidth="1"/>
    <col min="7" max="12" width="10.6640625" customWidth="1"/>
  </cols>
  <sheetData>
    <row r="1" spans="1:13" ht="15" thickBot="1" x14ac:dyDescent="0.3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13" ht="16.2" thickBot="1" x14ac:dyDescent="0.35">
      <c r="A2" s="68"/>
      <c r="B2" s="188" t="s">
        <v>102</v>
      </c>
      <c r="C2" s="189"/>
      <c r="D2" s="190"/>
      <c r="E2" s="68"/>
      <c r="F2" s="68"/>
      <c r="G2" s="68"/>
      <c r="H2" s="68"/>
      <c r="I2" s="193" t="s">
        <v>103</v>
      </c>
      <c r="J2" s="194"/>
      <c r="K2" s="195"/>
      <c r="L2" s="68"/>
      <c r="M2" s="68"/>
    </row>
    <row r="3" spans="1:13" ht="15" thickBot="1" x14ac:dyDescent="0.3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</row>
    <row r="4" spans="1:13" ht="15" thickBot="1" x14ac:dyDescent="0.35">
      <c r="A4" s="68"/>
      <c r="B4" s="20" t="s">
        <v>94</v>
      </c>
      <c r="C4" s="68"/>
      <c r="D4" s="64" t="s">
        <v>100</v>
      </c>
      <c r="E4" s="69" t="s">
        <v>96</v>
      </c>
      <c r="F4" s="68"/>
      <c r="G4" s="68"/>
      <c r="H4" s="57"/>
      <c r="I4" s="89" t="s">
        <v>104</v>
      </c>
      <c r="J4" s="90" t="s">
        <v>105</v>
      </c>
      <c r="K4" s="90" t="s">
        <v>106</v>
      </c>
      <c r="L4" s="91" t="s">
        <v>107</v>
      </c>
      <c r="M4" s="68"/>
    </row>
    <row r="5" spans="1:13" ht="15" thickBot="1" x14ac:dyDescent="0.35">
      <c r="A5" s="68"/>
      <c r="B5" s="61" t="s">
        <v>95</v>
      </c>
      <c r="C5" s="68"/>
      <c r="D5" s="65" t="s">
        <v>101</v>
      </c>
      <c r="E5" s="21"/>
      <c r="F5" s="68"/>
      <c r="G5" s="68"/>
      <c r="H5" s="58" t="s">
        <v>113</v>
      </c>
      <c r="I5" s="92">
        <v>20</v>
      </c>
      <c r="J5" s="93">
        <v>18</v>
      </c>
      <c r="K5" s="93">
        <v>17</v>
      </c>
      <c r="L5" s="94">
        <v>19</v>
      </c>
      <c r="M5" s="68"/>
    </row>
    <row r="6" spans="1:13" x14ac:dyDescent="0.3">
      <c r="A6" s="68"/>
      <c r="B6" s="62" t="s">
        <v>96</v>
      </c>
      <c r="C6" s="68"/>
      <c r="D6" s="68"/>
      <c r="E6" s="68"/>
      <c r="F6" s="68"/>
      <c r="G6" s="68"/>
      <c r="H6" s="59" t="s">
        <v>114</v>
      </c>
      <c r="I6" s="95">
        <v>17</v>
      </c>
      <c r="J6" s="96">
        <v>19</v>
      </c>
      <c r="K6" s="96">
        <v>14</v>
      </c>
      <c r="L6" s="97">
        <v>18</v>
      </c>
      <c r="M6" s="68"/>
    </row>
    <row r="7" spans="1:13" x14ac:dyDescent="0.3">
      <c r="A7" s="68"/>
      <c r="B7" s="62" t="s">
        <v>97</v>
      </c>
      <c r="C7" s="68"/>
      <c r="D7" s="68"/>
      <c r="E7" s="68"/>
      <c r="F7" s="68"/>
      <c r="G7" s="68"/>
      <c r="H7" s="59" t="s">
        <v>115</v>
      </c>
      <c r="I7" s="95">
        <v>18</v>
      </c>
      <c r="J7" s="96">
        <v>20</v>
      </c>
      <c r="K7" s="96">
        <v>18</v>
      </c>
      <c r="L7" s="97">
        <v>17</v>
      </c>
      <c r="M7" s="68"/>
    </row>
    <row r="8" spans="1:13" x14ac:dyDescent="0.3">
      <c r="A8" s="68"/>
      <c r="B8" s="71" t="s">
        <v>98</v>
      </c>
      <c r="C8" s="68"/>
      <c r="D8" s="68"/>
      <c r="E8" s="68"/>
      <c r="F8" s="68"/>
      <c r="G8" s="68"/>
      <c r="H8" s="72" t="s">
        <v>116</v>
      </c>
      <c r="I8" s="95">
        <v>19</v>
      </c>
      <c r="J8" s="96">
        <v>14</v>
      </c>
      <c r="K8" s="96">
        <v>19</v>
      </c>
      <c r="L8" s="97">
        <v>17</v>
      </c>
      <c r="M8" s="68"/>
    </row>
    <row r="9" spans="1:13" ht="15" thickBot="1" x14ac:dyDescent="0.35">
      <c r="A9" s="68"/>
      <c r="B9" s="73" t="s">
        <v>99</v>
      </c>
      <c r="C9" s="68"/>
      <c r="D9" s="68"/>
      <c r="E9" s="68"/>
      <c r="F9" s="68"/>
      <c r="G9" s="68"/>
      <c r="H9" s="74" t="s">
        <v>117</v>
      </c>
      <c r="I9" s="98">
        <v>17</v>
      </c>
      <c r="J9" s="99">
        <v>17</v>
      </c>
      <c r="K9" s="99">
        <v>18</v>
      </c>
      <c r="L9" s="100">
        <v>19</v>
      </c>
      <c r="M9" s="68"/>
    </row>
    <row r="10" spans="1:13" x14ac:dyDescent="0.3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</row>
    <row r="11" spans="1:13" ht="15" thickBot="1" x14ac:dyDescent="0.35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</row>
    <row r="12" spans="1:13" ht="15" thickBot="1" x14ac:dyDescent="0.35">
      <c r="A12" s="68"/>
      <c r="B12" s="22" t="s">
        <v>94</v>
      </c>
      <c r="C12" s="68"/>
      <c r="D12" s="68"/>
      <c r="E12" s="68"/>
      <c r="F12" s="68"/>
      <c r="G12" s="68"/>
      <c r="H12" s="64" t="s">
        <v>100</v>
      </c>
      <c r="I12" s="75" t="s">
        <v>96</v>
      </c>
      <c r="J12" s="76" t="s">
        <v>108</v>
      </c>
      <c r="K12" s="68"/>
      <c r="L12" s="68"/>
      <c r="M12" s="68"/>
    </row>
    <row r="13" spans="1:13" ht="15" thickBot="1" x14ac:dyDescent="0.35">
      <c r="A13" s="68"/>
      <c r="B13" s="54" t="s">
        <v>95</v>
      </c>
      <c r="C13" s="60" t="s">
        <v>96</v>
      </c>
      <c r="D13" s="60" t="s">
        <v>97</v>
      </c>
      <c r="E13" s="66" t="s">
        <v>98</v>
      </c>
      <c r="F13" s="67" t="s">
        <v>99</v>
      </c>
      <c r="G13" s="68"/>
      <c r="H13" s="65" t="s">
        <v>118</v>
      </c>
      <c r="I13" s="191"/>
      <c r="J13" s="192"/>
      <c r="K13" s="68"/>
      <c r="L13" s="68"/>
      <c r="M13" s="68"/>
    </row>
    <row r="14" spans="1:13" ht="15" thickBot="1" x14ac:dyDescent="0.35">
      <c r="A14" s="68"/>
      <c r="B14" s="23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</row>
    <row r="15" spans="1:13" x14ac:dyDescent="0.3">
      <c r="A15" s="68"/>
      <c r="B15" s="64" t="s">
        <v>100</v>
      </c>
      <c r="C15" s="70" t="s">
        <v>99</v>
      </c>
      <c r="D15" s="68"/>
      <c r="E15" s="68"/>
      <c r="F15" s="68"/>
      <c r="G15" s="68"/>
      <c r="H15" s="68"/>
      <c r="I15" s="68"/>
      <c r="J15" s="68"/>
      <c r="K15" s="68"/>
      <c r="L15" s="77"/>
      <c r="M15" s="68"/>
    </row>
    <row r="16" spans="1:13" ht="15" thickBot="1" x14ac:dyDescent="0.35">
      <c r="A16" s="68"/>
      <c r="B16" s="65" t="s">
        <v>101</v>
      </c>
      <c r="C16" s="63"/>
      <c r="D16" s="68"/>
      <c r="E16" s="68"/>
      <c r="F16" s="68"/>
      <c r="G16" s="68"/>
      <c r="H16" s="68"/>
      <c r="I16" s="68"/>
      <c r="J16" s="68"/>
      <c r="K16" s="68"/>
      <c r="L16" s="68"/>
      <c r="M16" s="68"/>
    </row>
    <row r="17" spans="1:13" x14ac:dyDescent="0.3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</row>
    <row r="18" spans="1:13" x14ac:dyDescent="0.3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</row>
    <row r="19" spans="1:13" x14ac:dyDescent="0.3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</row>
    <row r="20" spans="1:13" x14ac:dyDescent="0.3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</row>
    <row r="21" spans="1:13" x14ac:dyDescent="0.3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</row>
  </sheetData>
  <mergeCells count="3">
    <mergeCell ref="B2:D2"/>
    <mergeCell ref="I13:J13"/>
    <mergeCell ref="I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PLANILLA</vt:lpstr>
      <vt:lpstr>BOLETA</vt:lpstr>
      <vt:lpstr>RESUMEN</vt:lpstr>
      <vt:lpstr>BÚSQUEDAS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Luffi</dc:creator>
  <cp:lastModifiedBy>ALUMNO - VICTOR ALFREDO GAMARRA APARCO</cp:lastModifiedBy>
  <dcterms:created xsi:type="dcterms:W3CDTF">2013-04-19T15:14:10Z</dcterms:created>
  <dcterms:modified xsi:type="dcterms:W3CDTF">2024-04-01T01:48:33Z</dcterms:modified>
</cp:coreProperties>
</file>